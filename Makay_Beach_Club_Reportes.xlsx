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Apertura y Cierre" sheetId="2" state="visible" r:id="rId4"/>
    <sheet name="Ventas Diario" sheetId="3" state="visible" r:id="rId5"/>
    <sheet name="Ventas Semanal" sheetId="4" state="visible" r:id="rId6"/>
    <sheet name="Ventas Mensual" sheetId="5" state="visible" r:id="rId7"/>
    <sheet name="Reporte Maestro de Ventas" sheetId="6" state="visible" r:id="rId8"/>
    <sheet name="Inventario y Almacén" sheetId="7" state="visible" r:id="rId9"/>
    <sheet name="Orden de Compra" sheetId="8" state="visible" r:id="rId10"/>
  </sheets>
  <definedNames>
    <definedName function="false" hidden="true" localSheetId="6" name="_xlnm._FilterDatabase" vbProcedure="false">'Inventario y Almacén'!$B$6:$I$46</definedName>
    <definedName function="false" hidden="true" localSheetId="5" name="_xlnm._FilterDatabase" vbProcedure="false">'Reporte Maestro de Ventas'!$B$6:$K$46</definedName>
    <definedName function="false" hidden="true" localSheetId="2" name="_xlnm._FilterDatabase" vbProcedure="false">'Ventas Diario'!$B$6:$N$37</definedName>
    <definedName function="false" hidden="true" localSheetId="4" name="_xlnm._FilterDatabase" vbProcedure="false">'Ventas Mensual'!$B$6:$N$18</definedName>
    <definedName function="false" hidden="true" localSheetId="3" name="_xlnm._FilterDatabase" vbProcedure="false">'Ventas Semanal'!$B$6:$N$18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<sst xmlns="http://schemas.openxmlformats.org/spreadsheetml/2006/main" count="161" uniqueCount="104">
  <si>
    <t xml:space="preserve">MAKAY BEACH CLUB</t>
  </si>
  <si>
    <t xml:space="preserve">Sistema de Reportes — Ventas, Apertura/Cierre e Inventario</t>
  </si>
  <si>
    <t xml:space="preserve">CONTENIDO DEL LIBRO</t>
  </si>
  <si>
    <t xml:space="preserve">Apertura y Cierre</t>
  </si>
  <si>
    <t xml:space="preserve">Meta mensual, meta diaria, logro acumulado y % de logro por departamento</t>
  </si>
  <si>
    <t xml:space="preserve">Ventas Diario</t>
  </si>
  <si>
    <t xml:space="preserve">Ventas diarias por departamento con totales</t>
  </si>
  <si>
    <t xml:space="preserve">Ventas Semanal</t>
  </si>
  <si>
    <t xml:space="preserve">Ventas semanales por departamento con totales</t>
  </si>
  <si>
    <t xml:space="preserve">Ventas Mensual</t>
  </si>
  <si>
    <t xml:space="preserve">Ventas mensuales por departamento con totales</t>
  </si>
  <si>
    <t xml:space="preserve">Reporte Maestro de Ventas</t>
  </si>
  <si>
    <t xml:space="preserve">Ítems, producto, cantidad, PVP, rentabilidad, stock y reposición</t>
  </si>
  <si>
    <t xml:space="preserve">Inventario y Almacén</t>
  </si>
  <si>
    <t xml:space="preserve">Stock, costo, stock mínimo y reposición sugerida por ítem</t>
  </si>
  <si>
    <t xml:space="preserve">Orden de Compra</t>
  </si>
  <si>
    <t xml:space="preserve">Generada automáticamente desde ítems marcados REPONER en Inventario</t>
  </si>
  <si>
    <t xml:space="preserve">Cómo usar este libro:</t>
  </si>
  <si>
    <t xml:space="preserve">1. Las celdas resaltadas en color claro son de captura manual (dato de entrada); el resto se calcula solo.</t>
  </si>
  <si>
    <t xml:space="preserve">2. En 'Apertura y Cierre', capture la Meta mensual acumulada y el Logro acumulado diario en cada turno; la Meta diaria, % de logro y Tracking se calculan automáticamente.</t>
  </si>
  <si>
    <t xml:space="preserve">3. En 'Reporte Maestro de Ventas' e 'Inventario y Almacén', complete Ítem, Producto, Cantidad, PVP/Costo y Stock; Rentabilidad y Reposición se calculan solas.</t>
  </si>
  <si>
    <t xml:space="preserve">4. La hoja 'Orden de Compra' se llena sola en cuanto marque ítems como REPONER en Inventario — no requiere captura manual.</t>
  </si>
  <si>
    <t xml:space="preserve">MAKAY BEACH CLUB — Reporte de Apertura y Cierre</t>
  </si>
  <si>
    <t xml:space="preserve">Seguimiento diario de meta mensual acumulada vs. logro acumulado, por departamento</t>
  </si>
  <si>
    <t xml:space="preserve">Fecha del reporte:</t>
  </si>
  <si>
    <t xml:space="preserve">Turno:</t>
  </si>
  <si>
    <t xml:space="preserve">REPORTES DE VENTAS — APERTURA Y CIERRE POR DEPARTAMENTO</t>
  </si>
  <si>
    <t xml:space="preserve">Departamento</t>
  </si>
  <si>
    <t xml:space="preserve">Unidad de medida</t>
  </si>
  <si>
    <t xml:space="preserve">Meta mensual
acumulada</t>
  </si>
  <si>
    <t xml:space="preserve">Meta diaria
(meta mensual/30)</t>
  </si>
  <si>
    <t xml:space="preserve">Logro acumulado
diario</t>
  </si>
  <si>
    <t xml:space="preserve">% de logro
(vs. meta mensual)</t>
  </si>
  <si>
    <t xml:space="preserve">Tracking de logro
(10%)</t>
  </si>
  <si>
    <t xml:space="preserve">Reservas</t>
  </si>
  <si>
    <t xml:space="preserve">Ocupación (%) y Ventas ($)</t>
  </si>
  <si>
    <t xml:space="preserve">A&amp;B (Alimentos y Bebidas)</t>
  </si>
  <si>
    <t xml:space="preserve">Ventas ($)</t>
  </si>
  <si>
    <t xml:space="preserve">Spa</t>
  </si>
  <si>
    <t xml:space="preserve">Unidades</t>
  </si>
  <si>
    <t xml:space="preserve">Surf</t>
  </si>
  <si>
    <t xml:space="preserve">Eventos</t>
  </si>
  <si>
    <t xml:space="preserve">Rentabilidad ($)</t>
  </si>
  <si>
    <t xml:space="preserve">Cocina</t>
  </si>
  <si>
    <t xml:space="preserve">Bar</t>
  </si>
  <si>
    <t xml:space="preserve">Membresía</t>
  </si>
  <si>
    <t xml:space="preserve">Travel</t>
  </si>
  <si>
    <t xml:space="preserve">Marketing</t>
  </si>
  <si>
    <t xml:space="preserve">Puertas</t>
  </si>
  <si>
    <t xml:space="preserve">TOTAL / PROMEDIO GENERAL</t>
  </si>
  <si>
    <t xml:space="preserve">Notas:</t>
  </si>
  <si>
    <t xml:space="preserve">• Meta mensual acumulada y Logro acumulado diario son campos de entrada manual (celdas resaltadas) — captúrelos cada apertura/cierre.</t>
  </si>
  <si>
    <t xml:space="preserve">• Meta diaria se calcula automáticamente como Meta mensual acumulada ÷ 30. Ajuste el divisor si el mes tiene otra cantidad de días hábiles.</t>
  </si>
  <si>
    <t xml:space="preserve">• % de logro = Logro acumulado diario ÷ Meta mensual acumulada.</t>
  </si>
  <si>
    <t xml:space="preserve">• Tracking de logro (10%) mide el avance respecto a un hito parcial del 10% de la meta mensual, útil para verificar ritmo de cumplimiento temprano en el mes.</t>
  </si>
  <si>
    <t xml:space="preserve">• Reservas, Marketing y Puertas se miden en Ocupación (%) y en Ventas ($) — registre ambos indicadores según corresponda en reportes complementarios.</t>
  </si>
  <si>
    <t xml:space="preserve">MAKAY BEACH CLUB — Ventas Diarias</t>
  </si>
  <si>
    <t xml:space="preserve">Ventas por departamento (por día) — cifras en $ salvo unidades donde se indique</t>
  </si>
  <si>
    <t xml:space="preserve">VENTAS DIARIAS</t>
  </si>
  <si>
    <t xml:space="preserve">Fecha</t>
  </si>
  <si>
    <t xml:space="preserve">TOTAL</t>
  </si>
  <si>
    <t xml:space="preserve">MAKAY BEACH CLUB — Ventas Semanales</t>
  </si>
  <si>
    <t xml:space="preserve">Ventas por departamento (por semana) — cifras en $ salvo unidades donde se indique</t>
  </si>
  <si>
    <t xml:space="preserve">VENTAS SEMANALES</t>
  </si>
  <si>
    <t xml:space="preserve">Semana (Nº / Fecha inicio)</t>
  </si>
  <si>
    <t xml:space="preserve">MAKAY BEACH CLUB — Ventas Mensuales</t>
  </si>
  <si>
    <t xml:space="preserve">Ventas por departamento (por mes) — cifras en $ salvo unidades donde se indique</t>
  </si>
  <si>
    <t xml:space="preserve">VENTAS MENSUALES</t>
  </si>
  <si>
    <t xml:space="preserve">Mes</t>
  </si>
  <si>
    <t xml:space="preserve">MAKAY BEACH CLUB — Reporte Maestro de Ventas</t>
  </si>
  <si>
    <t xml:space="preserve">Ordenar manualmente por Cantidad vendida (mayor a menor) usando el filtro de la columna — plantilla lista para llenar</t>
  </si>
  <si>
    <t xml:space="preserve">MAESTRO DE PRODUCTOS</t>
  </si>
  <si>
    <t xml:space="preserve">Ítem
(código)</t>
  </si>
  <si>
    <t xml:space="preserve">Producto</t>
  </si>
  <si>
    <t xml:space="preserve">Cantidad
vendida</t>
  </si>
  <si>
    <t xml:space="preserve">PVP
($)</t>
  </si>
  <si>
    <t xml:space="preserve">Costo
($)</t>
  </si>
  <si>
    <t xml:space="preserve">Rentabilidad
($ y %)</t>
  </si>
  <si>
    <t xml:space="preserve">Stock
actual</t>
  </si>
  <si>
    <t xml:space="preserve">Stock
mínimo</t>
  </si>
  <si>
    <t xml:space="preserve">Reposición
(sugerida)</t>
  </si>
  <si>
    <t xml:space="preserve">• Rentabilidad ($) = (PVP − Costo) × Cantidad vendida.</t>
  </si>
  <si>
    <t xml:space="preserve">• Reposición (sugerida) se activa automáticamente cuando Stock actual &lt; Stock mínimo, sugiriendo reponer hasta el doble del stock mínimo.</t>
  </si>
  <si>
    <t xml:space="preserve">• Use el autofiltro del encabezado (columna Cantidad vendida) para ordenar de mayor a menor.</t>
  </si>
  <si>
    <t xml:space="preserve">MAKAY BEACH CLUB — Inventario / Almacén</t>
  </si>
  <si>
    <t xml:space="preserve">Item, stock, costo y reposición — genera automáticamente la Orden de Compra</t>
  </si>
  <si>
    <t xml:space="preserve">INVENTARIO DE ALMACÉN</t>
  </si>
  <si>
    <t xml:space="preserve">Descripción</t>
  </si>
  <si>
    <t xml:space="preserve">Unidad
de medida</t>
  </si>
  <si>
    <t xml:space="preserve">Costo
unitario ($)</t>
  </si>
  <si>
    <t xml:space="preserve">Estado</t>
  </si>
  <si>
    <t xml:space="preserve">• Reposición (sugerida) se calcula automáticamente: si Stock actual &lt; Stock mínimo, sugiere reponer hasta el doble del stock mínimo.</t>
  </si>
  <si>
    <t xml:space="preserve">• Estado marca 'REPONER' cuando el stock actual está por debajo del mínimo; la hoja 'Orden de Compra' lista automáticamente estos ítems.</t>
  </si>
  <si>
    <t xml:space="preserve">MAKAY BEACH CLUB — Orden de Compra</t>
  </si>
  <si>
    <t xml:space="preserve">Generada automáticamente desde 'Inventario y Almacén' — solo ítems marcados como REPONER</t>
  </si>
  <si>
    <t xml:space="preserve">Fecha de emisión:</t>
  </si>
  <si>
    <t xml:space="preserve">Proveedor:</t>
  </si>
  <si>
    <t xml:space="preserve">ÍTEMS A REPONER (automático desde Inventario)</t>
  </si>
  <si>
    <t xml:space="preserve">Cantidad a
ordenar</t>
  </si>
  <si>
    <t xml:space="preserve">Subtotal
($)</t>
  </si>
  <si>
    <t xml:space="preserve">TOTAL ORDEN DE COMPRA</t>
  </si>
  <si>
    <t xml:space="preserve">• Esta hoja se llena automáticamente: solo aparecen los ítems que en 'Inventario y Almacén' tienen Estado = REPONER.</t>
  </si>
  <si>
    <t xml:space="preserve">• Cantidad a ordenar proviene de la columna Reposición (sugerida) del Inventario.</t>
  </si>
  <si>
    <t xml:space="preserve">• Filtre las filas vacías o use 'Ordenar y filtrar' para ocultar líneas sin ítem antes de imprimir la orden.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</si>
</sst>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0.0%"/>
    <numFmt numFmtId="168" formatCode="@"/>
    <numFmt numFmtId="169" formatCode="#,##0"/>
    <numFmt numFmtId="170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B474D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28251D"/>
      <name val="Cambria"/>
      <family val="0"/>
      <charset val="1"/>
    </font>
    <font>
      <b val="true"/>
      <sz val="11"/>
      <color rgb="FFA12C7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74D"/>
        <bgColor rgb="FF28251D"/>
      </patternFill>
    </fill>
    <fill>
      <patternFill patternType="solid">
        <fgColor rgb="FF20808D"/>
        <bgColor rgb="FF008080"/>
      </patternFill>
    </fill>
    <fill>
      <patternFill patternType="solid">
        <fgColor rgb="FFFBFB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474D"/>
          <bgColor rgb="FF000000"/>
        </patternFill>
      </fill>
    </dxf>
    <dxf>
      <fill>
        <patternFill patternType="solid">
          <fgColor rgb="FFFBFB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A12C7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A12C7B"/>
      <rgbColor rgb="FFFBFB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74D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55"/>
  </cols>
  <sheetData>
    <row r="2" customFormat="false" ht="39.7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6" customFormat="false" ht="15" hidden="false" customHeight="false" outlineLevel="0" collapsed="false">
      <c r="B6" s="3" t="s">
        <v>2</v>
      </c>
      <c r="C6" s="3"/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2" customFormat="false" ht="15" hidden="false" customHeight="false" outlineLevel="0" collapsed="false">
      <c r="B12" s="4" t="s">
        <v>13</v>
      </c>
      <c r="C12" s="5" t="s">
        <v>14</v>
      </c>
    </row>
    <row r="13" customFormat="false" ht="23.85" hidden="false" customHeight="false" outlineLevel="0" collapsed="false">
      <c r="B13" s="4" t="s">
        <v>15</v>
      </c>
      <c r="C13" s="5" t="s">
        <v>16</v>
      </c>
    </row>
    <row r="15" customFormat="false" ht="15" hidden="false" customHeight="false" outlineLevel="0" collapsed="false">
      <c r="B15" s="6" t="s">
        <v>17</v>
      </c>
    </row>
    <row r="16" customFormat="false" ht="15" hidden="false" customHeight="false" outlineLevel="0" collapsed="false">
      <c r="B16" s="7" t="s">
        <v>18</v>
      </c>
      <c r="C16" s="7"/>
    </row>
    <row r="17" customFormat="false" ht="15" hidden="false" customHeight="false" outlineLevel="0" collapsed="false">
      <c r="B17" s="7" t="s">
        <v>19</v>
      </c>
      <c r="C17" s="7"/>
    </row>
    <row r="18" customFormat="false" ht="15" hidden="false" customHeight="false" outlineLevel="0" collapsed="false">
      <c r="B18" s="7" t="s">
        <v>20</v>
      </c>
      <c r="C18" s="7"/>
    </row>
    <row r="19" customFormat="false" ht="15" hidden="false" customHeight="false" outlineLevel="0" collapsed="false">
      <c r="B19" s="7" t="s">
        <v>21</v>
      </c>
      <c r="C19" s="7"/>
    </row>
  </sheetData>
  <mergeCells count="6">
    <mergeCell ref="B2:C2"/>
    <mergeCell ref="B3:C3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8"/>
    <col collapsed="false" customWidth="true" hidden="false" outlineLevel="0" max="8" min="8" style="0" width="22"/>
  </cols>
  <sheetData>
    <row r="2" customFormat="false" ht="31.5" hidden="false" customHeight="true" outlineLevel="0" collapsed="false">
      <c r="B2" s="8" t="s">
        <v>22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2" t="s">
        <v>23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6" t="s">
        <v>24</v>
      </c>
      <c r="C5" s="9"/>
      <c r="E5" s="6" t="s">
        <v>25</v>
      </c>
      <c r="F5" s="10"/>
    </row>
    <row r="8" customFormat="false" ht="15" hidden="false" customHeight="false" outlineLevel="0" collapsed="false">
      <c r="B8" s="3" t="s">
        <v>26</v>
      </c>
      <c r="C8" s="3"/>
      <c r="D8" s="3"/>
      <c r="E8" s="3"/>
      <c r="F8" s="3"/>
      <c r="G8" s="3"/>
      <c r="H8" s="3"/>
    </row>
    <row r="9" customFormat="false" ht="33.75" hidden="false" customHeight="true" outlineLevel="0" collapsed="false">
      <c r="B9" s="11" t="s">
        <v>27</v>
      </c>
      <c r="C9" s="11" t="s">
        <v>28</v>
      </c>
      <c r="D9" s="11" t="s">
        <v>29</v>
      </c>
      <c r="E9" s="11" t="s">
        <v>30</v>
      </c>
      <c r="F9" s="11" t="s">
        <v>31</v>
      </c>
      <c r="G9" s="11" t="s">
        <v>32</v>
      </c>
      <c r="H9" s="11" t="s">
        <v>33</v>
      </c>
    </row>
    <row r="10" customFormat="false" ht="15" hidden="false" customHeight="false" outlineLevel="0" collapsed="false">
      <c r="B10" s="12" t="s">
        <v>34</v>
      </c>
      <c r="C10" s="13" t="s">
        <v>35</v>
      </c>
      <c r="D10" s="14"/>
      <c r="E10" s="15" t="str">
        <f aca="false">IF(D10="","",D10/30)</f>
        <v/>
      </c>
      <c r="F10" s="14"/>
      <c r="G10" s="16" t="str">
        <f aca="false">IF(OR(D10="",D10=0,F10=""),"",F10/D10)</f>
        <v/>
      </c>
      <c r="H10" s="16" t="str">
        <f aca="false">IF(OR(D10="",D10=0,F10=""),"",F10/(D10*0.1))</f>
        <v/>
      </c>
    </row>
    <row r="11" customFormat="false" ht="15" hidden="false" customHeight="false" outlineLevel="0" collapsed="false">
      <c r="B11" s="12" t="s">
        <v>36</v>
      </c>
      <c r="C11" s="13" t="s">
        <v>37</v>
      </c>
      <c r="D11" s="14"/>
      <c r="E11" s="15" t="str">
        <f aca="false">IF(D11="","",D11/30)</f>
        <v/>
      </c>
      <c r="F11" s="14"/>
      <c r="G11" s="16" t="str">
        <f aca="false">IF(OR(D11="",D11=0,F11=""),"",F11/D11)</f>
        <v/>
      </c>
      <c r="H11" s="16" t="str">
        <f aca="false">IF(OR(D11="",D11=0,F11=""),"",F11/(D11*0.1))</f>
        <v/>
      </c>
    </row>
    <row r="12" customFormat="false" ht="15" hidden="false" customHeight="false" outlineLevel="0" collapsed="false">
      <c r="B12" s="12" t="s">
        <v>38</v>
      </c>
      <c r="C12" s="13" t="s">
        <v>39</v>
      </c>
      <c r="D12" s="14"/>
      <c r="E12" s="15" t="str">
        <f aca="false">IF(D12="","",D12/30)</f>
        <v/>
      </c>
      <c r="F12" s="14"/>
      <c r="G12" s="16" t="str">
        <f aca="false">IF(OR(D12="",D12=0,F12=""),"",F12/D12)</f>
        <v/>
      </c>
      <c r="H12" s="16" t="str">
        <f aca="false">IF(OR(D12="",D12=0,F12=""),"",F12/(D12*0.1))</f>
        <v/>
      </c>
    </row>
    <row r="13" customFormat="false" ht="15" hidden="false" customHeight="false" outlineLevel="0" collapsed="false">
      <c r="B13" s="12" t="s">
        <v>40</v>
      </c>
      <c r="C13" s="13" t="s">
        <v>39</v>
      </c>
      <c r="D13" s="14"/>
      <c r="E13" s="15" t="str">
        <f aca="false">IF(D13="","",D13/30)</f>
        <v/>
      </c>
      <c r="F13" s="14"/>
      <c r="G13" s="16" t="str">
        <f aca="false">IF(OR(D13="",D13=0,F13=""),"",F13/D13)</f>
        <v/>
      </c>
      <c r="H13" s="16" t="str">
        <f aca="false">IF(OR(D13="",D13=0,F13=""),"",F13/(D13*0.1))</f>
        <v/>
      </c>
    </row>
    <row r="14" customFormat="false" ht="15" hidden="false" customHeight="false" outlineLevel="0" collapsed="false">
      <c r="B14" s="12" t="s">
        <v>41</v>
      </c>
      <c r="C14" s="13" t="s">
        <v>42</v>
      </c>
      <c r="D14" s="14"/>
      <c r="E14" s="15" t="str">
        <f aca="false">IF(D14="","",D14/30)</f>
        <v/>
      </c>
      <c r="F14" s="14"/>
      <c r="G14" s="16" t="str">
        <f aca="false">IF(OR(D14="",D14=0,F14=""),"",F14/D14)</f>
        <v/>
      </c>
      <c r="H14" s="16" t="str">
        <f aca="false">IF(OR(D14="",D14=0,F14=""),"",F14/(D14*0.1))</f>
        <v/>
      </c>
    </row>
    <row r="15" customFormat="false" ht="15" hidden="false" customHeight="false" outlineLevel="0" collapsed="false">
      <c r="B15" s="12" t="s">
        <v>43</v>
      </c>
      <c r="C15" s="13" t="s">
        <v>37</v>
      </c>
      <c r="D15" s="14"/>
      <c r="E15" s="15" t="str">
        <f aca="false">IF(D15="","",D15/30)</f>
        <v/>
      </c>
      <c r="F15" s="14"/>
      <c r="G15" s="16" t="str">
        <f aca="false">IF(OR(D15="",D15=0,F15=""),"",F15/D15)</f>
        <v/>
      </c>
      <c r="H15" s="16" t="str">
        <f aca="false">IF(OR(D15="",D15=0,F15=""),"",F15/(D15*0.1))</f>
        <v/>
      </c>
    </row>
    <row r="16" customFormat="false" ht="15" hidden="false" customHeight="false" outlineLevel="0" collapsed="false">
      <c r="B16" s="12" t="s">
        <v>44</v>
      </c>
      <c r="C16" s="13" t="s">
        <v>37</v>
      </c>
      <c r="D16" s="14"/>
      <c r="E16" s="15" t="str">
        <f aca="false">IF(D16="","",D16/30)</f>
        <v/>
      </c>
      <c r="F16" s="14"/>
      <c r="G16" s="16" t="str">
        <f aca="false">IF(OR(D16="",D16=0,F16=""),"",F16/D16)</f>
        <v/>
      </c>
      <c r="H16" s="16" t="str">
        <f aca="false">IF(OR(D16="",D16=0,F16=""),"",F16/(D16*0.1))</f>
        <v/>
      </c>
    </row>
    <row r="17" customFormat="false" ht="15" hidden="false" customHeight="false" outlineLevel="0" collapsed="false">
      <c r="B17" s="12" t="s">
        <v>45</v>
      </c>
      <c r="C17" s="13" t="s">
        <v>39</v>
      </c>
      <c r="D17" s="14"/>
      <c r="E17" s="15" t="str">
        <f aca="false">IF(D17="","",D17/30)</f>
        <v/>
      </c>
      <c r="F17" s="14"/>
      <c r="G17" s="16" t="str">
        <f aca="false">IF(OR(D17="",D17=0,F17=""),"",F17/D17)</f>
        <v/>
      </c>
      <c r="H17" s="16" t="str">
        <f aca="false">IF(OR(D17="",D17=0,F17=""),"",F17/(D17*0.1))</f>
        <v/>
      </c>
    </row>
    <row r="18" customFormat="false" ht="15" hidden="false" customHeight="false" outlineLevel="0" collapsed="false">
      <c r="B18" s="12" t="s">
        <v>46</v>
      </c>
      <c r="C18" s="13" t="s">
        <v>37</v>
      </c>
      <c r="D18" s="14"/>
      <c r="E18" s="15" t="str">
        <f aca="false">IF(D18="","",D18/30)</f>
        <v/>
      </c>
      <c r="F18" s="14"/>
      <c r="G18" s="16" t="str">
        <f aca="false">IF(OR(D18="",D18=0,F18=""),"",F18/D18)</f>
        <v/>
      </c>
      <c r="H18" s="16" t="str">
        <f aca="false">IF(OR(D18="",D18=0,F18=""),"",F18/(D18*0.1))</f>
        <v/>
      </c>
    </row>
    <row r="19" customFormat="false" ht="15" hidden="false" customHeight="false" outlineLevel="0" collapsed="false">
      <c r="B19" s="12" t="s">
        <v>47</v>
      </c>
      <c r="C19" s="13" t="s">
        <v>35</v>
      </c>
      <c r="D19" s="14"/>
      <c r="E19" s="15" t="str">
        <f aca="false">IF(D19="","",D19/30)</f>
        <v/>
      </c>
      <c r="F19" s="14"/>
      <c r="G19" s="16" t="str">
        <f aca="false">IF(OR(D19="",D19=0,F19=""),"",F19/D19)</f>
        <v/>
      </c>
      <c r="H19" s="16" t="str">
        <f aca="false">IF(OR(D19="",D19=0,F19=""),"",F19/(D19*0.1))</f>
        <v/>
      </c>
    </row>
    <row r="20" customFormat="false" ht="15" hidden="false" customHeight="false" outlineLevel="0" collapsed="false">
      <c r="B20" s="12" t="s">
        <v>48</v>
      </c>
      <c r="C20" s="13" t="s">
        <v>35</v>
      </c>
      <c r="D20" s="14"/>
      <c r="E20" s="15" t="str">
        <f aca="false">IF(D20="","",D20/30)</f>
        <v/>
      </c>
      <c r="F20" s="14"/>
      <c r="G20" s="16" t="str">
        <f aca="false">IF(OR(D20="",D20=0,F20=""),"",F20/D20)</f>
        <v/>
      </c>
      <c r="H20" s="16" t="str">
        <f aca="false">IF(OR(D20="",D20=0,F20=""),"",F20/(D20*0.1))</f>
        <v/>
      </c>
    </row>
    <row r="21" customFormat="false" ht="15" hidden="false" customHeight="false" outlineLevel="0" collapsed="false">
      <c r="B21" s="17" t="s">
        <v>49</v>
      </c>
      <c r="C21" s="18"/>
      <c r="D21" s="19" t="n">
        <f aca="false">SUM(D10:D20)</f>
        <v>0</v>
      </c>
      <c r="E21" s="19" t="n">
        <f aca="false">SUM(E10:E20)</f>
        <v>0</v>
      </c>
      <c r="F21" s="19" t="n">
        <f aca="false">SUM(F10:F20)</f>
        <v>0</v>
      </c>
      <c r="G21" s="20" t="str">
        <f aca="false">IF(D21=0,"",F21/D21)</f>
        <v/>
      </c>
      <c r="H21" s="20" t="str">
        <f aca="false">IF(D21=0,"",F21/(D21*0.1))</f>
        <v/>
      </c>
    </row>
    <row r="23" customFormat="false" ht="15" hidden="false" customHeight="false" outlineLevel="0" collapsed="false">
      <c r="B23" s="6" t="s">
        <v>50</v>
      </c>
    </row>
    <row r="24" customFormat="false" ht="15" hidden="false" customHeight="false" outlineLevel="0" collapsed="false">
      <c r="B24" s="7" t="s">
        <v>51</v>
      </c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B25" s="7" t="s">
        <v>52</v>
      </c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B26" s="7" t="s">
        <v>53</v>
      </c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B27" s="7" t="s">
        <v>54</v>
      </c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B28" s="7" t="s">
        <v>55</v>
      </c>
      <c r="C28" s="7"/>
      <c r="D28" s="7"/>
      <c r="E28" s="7"/>
      <c r="F28" s="7"/>
      <c r="G28" s="7"/>
      <c r="H28" s="7"/>
    </row>
  </sheetData>
  <mergeCells count="7">
    <mergeCell ref="B2:H2"/>
    <mergeCell ref="B3:H3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3" min="3" style="0" width="14"/>
    <col collapsed="false" customWidth="true" hidden="false" outlineLevel="0" max="14" min="14" style="0" width="16"/>
  </cols>
  <sheetData>
    <row r="2" customFormat="false" ht="31.5" hidden="false" customHeight="true" outlineLevel="0" collapsed="false">
      <c r="B2" s="8" t="s">
        <v>56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B3" s="2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58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30" hidden="false" customHeight="true" outlineLevel="0" collapsed="false">
      <c r="B6" s="11" t="s">
        <v>59</v>
      </c>
      <c r="C6" s="11" t="s">
        <v>34</v>
      </c>
      <c r="D6" s="11" t="s">
        <v>36</v>
      </c>
      <c r="E6" s="11" t="s">
        <v>38</v>
      </c>
      <c r="F6" s="11" t="s">
        <v>40</v>
      </c>
      <c r="G6" s="11" t="s">
        <v>41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60</v>
      </c>
    </row>
    <row r="7" customFormat="false" ht="15" hidden="false" customHeight="false" outlineLevel="0" collapsed="false">
      <c r="B7" s="21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2" t="n">
        <f aca="false">SUM(C7:M7)</f>
        <v>0</v>
      </c>
    </row>
    <row r="8" customFormat="false" ht="15" hidden="false" customHeight="false" outlineLevel="0" collapsed="false">
      <c r="B8" s="21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2" t="n">
        <f aca="false">SUM(C8:M8)</f>
        <v>0</v>
      </c>
    </row>
    <row r="9" customFormat="false" ht="15" hidden="false" customHeight="false" outlineLevel="0" collapsed="false">
      <c r="B9" s="21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2" t="n">
        <f aca="false">SUM(C9:M9)</f>
        <v>0</v>
      </c>
    </row>
    <row r="10" customFormat="false" ht="15" hidden="false" customHeight="false" outlineLevel="0" collapsed="false">
      <c r="B10" s="21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2" t="n">
        <f aca="false">SUM(C10:M10)</f>
        <v>0</v>
      </c>
    </row>
    <row r="11" customFormat="false" ht="15" hidden="false" customHeight="false" outlineLevel="0" collapsed="false">
      <c r="B11" s="21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2" t="n">
        <f aca="false">SUM(C11:M11)</f>
        <v>0</v>
      </c>
    </row>
    <row r="12" customFormat="false" ht="15" hidden="false" customHeight="false" outlineLevel="0" collapsed="false">
      <c r="B12" s="2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2" t="n">
        <f aca="false">SUM(C12:M12)</f>
        <v>0</v>
      </c>
    </row>
    <row r="13" customFormat="false" ht="15" hidden="false" customHeight="false" outlineLevel="0" collapsed="false"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2" t="n">
        <f aca="false">SUM(C13:M13)</f>
        <v>0</v>
      </c>
    </row>
    <row r="14" customFormat="false" ht="15" hidden="false" customHeight="false" outlineLevel="0" collapsed="false">
      <c r="B14" s="21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2" t="n">
        <f aca="false">SUM(C14:M14)</f>
        <v>0</v>
      </c>
    </row>
    <row r="15" customFormat="false" ht="15" hidden="false" customHeight="false" outlineLevel="0" collapsed="false">
      <c r="B15" s="2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2" t="n">
        <f aca="false">SUM(C15:M15)</f>
        <v>0</v>
      </c>
    </row>
    <row r="16" customFormat="false" ht="15" hidden="false" customHeight="false" outlineLevel="0" collapsed="false">
      <c r="B16" s="2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" t="n">
        <f aca="false">SUM(C16:M16)</f>
        <v>0</v>
      </c>
    </row>
    <row r="17" customFormat="false" ht="15" hidden="false" customHeight="false" outlineLevel="0" collapsed="false">
      <c r="B17" s="2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2" t="n">
        <f aca="false">SUM(C17:M17)</f>
        <v>0</v>
      </c>
    </row>
    <row r="18" customFormat="false" ht="15" hidden="false" customHeight="false" outlineLevel="0" collapsed="false">
      <c r="B18" s="2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2" t="n">
        <f aca="false">SUM(C18:M18)</f>
        <v>0</v>
      </c>
    </row>
    <row r="19" customFormat="false" ht="15" hidden="false" customHeight="false" outlineLevel="0" collapsed="false">
      <c r="B19" s="21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2" t="n">
        <f aca="false">SUM(C19:M19)</f>
        <v>0</v>
      </c>
    </row>
    <row r="20" customFormat="false" ht="15" hidden="false" customHeight="false" outlineLevel="0" collapsed="false">
      <c r="B20" s="21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2" t="n">
        <f aca="false">SUM(C20:M20)</f>
        <v>0</v>
      </c>
    </row>
    <row r="21" customFormat="false" ht="15" hidden="false" customHeight="false" outlineLevel="0" collapsed="false">
      <c r="B21" s="2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2" t="n">
        <f aca="false">SUM(C21:M21)</f>
        <v>0</v>
      </c>
    </row>
    <row r="22" customFormat="false" ht="15" hidden="false" customHeight="false" outlineLevel="0" collapsed="false">
      <c r="B22" s="2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2" t="n">
        <f aca="false">SUM(C22:M22)</f>
        <v>0</v>
      </c>
    </row>
    <row r="23" customFormat="false" ht="15" hidden="false" customHeight="false" outlineLevel="0" collapsed="false"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2" t="n">
        <f aca="false">SUM(C23:M23)</f>
        <v>0</v>
      </c>
    </row>
    <row r="24" customFormat="false" ht="15" hidden="false" customHeight="false" outlineLevel="0" collapsed="false">
      <c r="B24" s="2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2" t="n">
        <f aca="false">SUM(C24:M24)</f>
        <v>0</v>
      </c>
    </row>
    <row r="25" customFormat="false" ht="15" hidden="false" customHeight="false" outlineLevel="0" collapsed="false"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2" t="n">
        <f aca="false">SUM(C25:M25)</f>
        <v>0</v>
      </c>
    </row>
    <row r="26" customFormat="false" ht="15" hidden="false" customHeight="false" outlineLevel="0" collapsed="false">
      <c r="B26" s="21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2" t="n">
        <f aca="false">SUM(C26:M26)</f>
        <v>0</v>
      </c>
    </row>
    <row r="27" customFormat="false" ht="15" hidden="false" customHeight="false" outlineLevel="0" collapsed="false">
      <c r="B27" s="21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2" t="n">
        <f aca="false">SUM(C27:M27)</f>
        <v>0</v>
      </c>
    </row>
    <row r="28" customFormat="false" ht="15" hidden="false" customHeight="false" outlineLevel="0" collapsed="false">
      <c r="B28" s="21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22" t="n">
        <f aca="false">SUM(C28:M28)</f>
        <v>0</v>
      </c>
    </row>
    <row r="29" customFormat="false" ht="15" hidden="false" customHeight="false" outlineLevel="0" collapsed="false">
      <c r="B29" s="21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22" t="n">
        <f aca="false">SUM(C29:M29)</f>
        <v>0</v>
      </c>
    </row>
    <row r="30" customFormat="false" ht="15" hidden="false" customHeight="false" outlineLevel="0" collapsed="false">
      <c r="B30" s="2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2" t="n">
        <f aca="false">SUM(C30:M30)</f>
        <v>0</v>
      </c>
    </row>
    <row r="31" customFormat="false" ht="15" hidden="false" customHeight="false" outlineLevel="0" collapsed="false">
      <c r="B31" s="21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22" t="n">
        <f aca="false">SUM(C31:M31)</f>
        <v>0</v>
      </c>
    </row>
    <row r="32" customFormat="false" ht="15" hidden="false" customHeight="false" outlineLevel="0" collapsed="false">
      <c r="B32" s="21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2" t="n">
        <f aca="false">SUM(C32:M32)</f>
        <v>0</v>
      </c>
    </row>
    <row r="33" customFormat="false" ht="15" hidden="false" customHeight="false" outlineLevel="0" collapsed="false">
      <c r="B33" s="21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2" t="n">
        <f aca="false">SUM(C33:M33)</f>
        <v>0</v>
      </c>
    </row>
    <row r="34" customFormat="false" ht="15" hidden="false" customHeight="false" outlineLevel="0" collapsed="false">
      <c r="B34" s="21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2" t="n">
        <f aca="false">SUM(C34:M34)</f>
        <v>0</v>
      </c>
    </row>
    <row r="35" customFormat="false" ht="15" hidden="false" customHeight="false" outlineLevel="0" collapsed="false">
      <c r="B35" s="21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2" t="n">
        <f aca="false">SUM(C35:M35)</f>
        <v>0</v>
      </c>
    </row>
    <row r="36" customFormat="false" ht="15" hidden="false" customHeight="false" outlineLevel="0" collapsed="false">
      <c r="B36" s="21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2" t="n">
        <f aca="false">SUM(C36:M36)</f>
        <v>0</v>
      </c>
    </row>
    <row r="37" customFormat="false" ht="15" hidden="false" customHeight="false" outlineLevel="0" collapsed="false">
      <c r="B37" s="21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2" t="n">
        <f aca="false">SUM(C37:M37)</f>
        <v>0</v>
      </c>
    </row>
    <row r="38" customFormat="false" ht="15" hidden="false" customHeight="false" outlineLevel="0" collapsed="false">
      <c r="B38" s="17" t="s">
        <v>60</v>
      </c>
      <c r="C38" s="23" t="n">
        <f aca="false">SUM(C7:C37)</f>
        <v>0</v>
      </c>
      <c r="D38" s="23" t="n">
        <f aca="false">SUM(D7:D37)</f>
        <v>0</v>
      </c>
      <c r="E38" s="23" t="n">
        <f aca="false">SUM(E7:E37)</f>
        <v>0</v>
      </c>
      <c r="F38" s="23" t="n">
        <f aca="false">SUM(F7:F37)</f>
        <v>0</v>
      </c>
      <c r="G38" s="23" t="n">
        <f aca="false">SUM(G7:G37)</f>
        <v>0</v>
      </c>
      <c r="H38" s="23" t="n">
        <f aca="false">SUM(H7:H37)</f>
        <v>0</v>
      </c>
      <c r="I38" s="23" t="n">
        <f aca="false">SUM(I7:I37)</f>
        <v>0</v>
      </c>
      <c r="J38" s="23" t="n">
        <f aca="false">SUM(J7:J37)</f>
        <v>0</v>
      </c>
      <c r="K38" s="23" t="n">
        <f aca="false">SUM(K7:K37)</f>
        <v>0</v>
      </c>
      <c r="L38" s="23" t="n">
        <f aca="false">SUM(L7:L37)</f>
        <v>0</v>
      </c>
      <c r="M38" s="23" t="n">
        <f aca="false">SUM(M7:M37)</f>
        <v>0</v>
      </c>
      <c r="N38" s="23" t="n">
        <f aca="false">SUM(N7:N37)</f>
        <v>0</v>
      </c>
    </row>
  </sheetData>
  <autoFilter ref="B6:N37"/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3" min="3" style="0" width="14"/>
    <col collapsed="false" customWidth="true" hidden="false" outlineLevel="0" max="14" min="14" style="0" width="16"/>
  </cols>
  <sheetData>
    <row r="2" customFormat="false" ht="31.5" hidden="false" customHeight="true" outlineLevel="0" collapsed="false">
      <c r="B2" s="8" t="s">
        <v>61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B3" s="2" t="s">
        <v>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63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30" hidden="false" customHeight="true" outlineLevel="0" collapsed="false">
      <c r="B6" s="11" t="s">
        <v>64</v>
      </c>
      <c r="C6" s="11" t="s">
        <v>34</v>
      </c>
      <c r="D6" s="11" t="s">
        <v>36</v>
      </c>
      <c r="E6" s="11" t="s">
        <v>38</v>
      </c>
      <c r="F6" s="11" t="s">
        <v>40</v>
      </c>
      <c r="G6" s="11" t="s">
        <v>41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60</v>
      </c>
    </row>
    <row r="7" customFormat="false" ht="15" hidden="false" customHeight="false" outlineLevel="0" collapsed="false">
      <c r="B7" s="2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2" t="n">
        <f aca="false">SUM(C7:M7)</f>
        <v>0</v>
      </c>
    </row>
    <row r="8" customFormat="false" ht="15" hidden="false" customHeight="false" outlineLevel="0" collapsed="false">
      <c r="B8" s="2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2" t="n">
        <f aca="false">SUM(C8:M8)</f>
        <v>0</v>
      </c>
    </row>
    <row r="9" customFormat="false" ht="15" hidden="false" customHeight="false" outlineLevel="0" collapsed="false">
      <c r="B9" s="2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2" t="n">
        <f aca="false">SUM(C9:M9)</f>
        <v>0</v>
      </c>
    </row>
    <row r="10" customFormat="false" ht="15" hidden="false" customHeight="false" outlineLevel="0" collapsed="false">
      <c r="B10" s="2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2" t="n">
        <f aca="false">SUM(C10:M10)</f>
        <v>0</v>
      </c>
    </row>
    <row r="11" customFormat="false" ht="15" hidden="false" customHeight="false" outlineLevel="0" collapsed="false">
      <c r="B11" s="2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2" t="n">
        <f aca="false">SUM(C11:M11)</f>
        <v>0</v>
      </c>
    </row>
    <row r="12" customFormat="false" ht="15" hidden="false" customHeight="false" outlineLevel="0" collapsed="false">
      <c r="B12" s="2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2" t="n">
        <f aca="false">SUM(C12:M12)</f>
        <v>0</v>
      </c>
    </row>
    <row r="13" customFormat="false" ht="15" hidden="false" customHeight="false" outlineLevel="0" collapsed="false">
      <c r="B13" s="2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2" t="n">
        <f aca="false">SUM(C13:M13)</f>
        <v>0</v>
      </c>
    </row>
    <row r="14" customFormat="false" ht="15" hidden="false" customHeight="false" outlineLevel="0" collapsed="false">
      <c r="B14" s="2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2" t="n">
        <f aca="false">SUM(C14:M14)</f>
        <v>0</v>
      </c>
    </row>
    <row r="15" customFormat="false" ht="15" hidden="false" customHeight="false" outlineLevel="0" collapsed="false">
      <c r="B15" s="2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2" t="n">
        <f aca="false">SUM(C15:M15)</f>
        <v>0</v>
      </c>
    </row>
    <row r="16" customFormat="false" ht="15" hidden="false" customHeight="false" outlineLevel="0" collapsed="false">
      <c r="B16" s="2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" t="n">
        <f aca="false">SUM(C16:M16)</f>
        <v>0</v>
      </c>
    </row>
    <row r="17" customFormat="false" ht="15" hidden="false" customHeight="false" outlineLevel="0" collapsed="false">
      <c r="B17" s="2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2" t="n">
        <f aca="false">SUM(C17:M17)</f>
        <v>0</v>
      </c>
    </row>
    <row r="18" customFormat="false" ht="15" hidden="false" customHeight="false" outlineLevel="0" collapsed="false">
      <c r="B18" s="2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2" t="n">
        <f aca="false">SUM(C18:M18)</f>
        <v>0</v>
      </c>
    </row>
    <row r="19" customFormat="false" ht="15" hidden="false" customHeight="false" outlineLevel="0" collapsed="false">
      <c r="B19" s="17" t="s">
        <v>60</v>
      </c>
      <c r="C19" s="23" t="n">
        <f aca="false">SUM(C7:C18)</f>
        <v>0</v>
      </c>
      <c r="D19" s="23" t="n">
        <f aca="false">SUM(D7:D18)</f>
        <v>0</v>
      </c>
      <c r="E19" s="23" t="n">
        <f aca="false">SUM(E7:E18)</f>
        <v>0</v>
      </c>
      <c r="F19" s="23" t="n">
        <f aca="false">SUM(F7:F18)</f>
        <v>0</v>
      </c>
      <c r="G19" s="23" t="n">
        <f aca="false">SUM(G7:G18)</f>
        <v>0</v>
      </c>
      <c r="H19" s="23" t="n">
        <f aca="false">SUM(H7:H18)</f>
        <v>0</v>
      </c>
      <c r="I19" s="23" t="n">
        <f aca="false">SUM(I7:I18)</f>
        <v>0</v>
      </c>
      <c r="J19" s="23" t="n">
        <f aca="false">SUM(J7:J18)</f>
        <v>0</v>
      </c>
      <c r="K19" s="23" t="n">
        <f aca="false">SUM(K7:K18)</f>
        <v>0</v>
      </c>
      <c r="L19" s="23" t="n">
        <f aca="false">SUM(L7:L18)</f>
        <v>0</v>
      </c>
      <c r="M19" s="23" t="n">
        <f aca="false">SUM(M7:M18)</f>
        <v>0</v>
      </c>
      <c r="N19" s="23" t="n">
        <f aca="false">SUM(N7:N18)</f>
        <v>0</v>
      </c>
    </row>
  </sheetData>
  <autoFilter ref="B6:N18"/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3" min="3" style="0" width="14"/>
    <col collapsed="false" customWidth="true" hidden="false" outlineLevel="0" max="14" min="14" style="0" width="16"/>
  </cols>
  <sheetData>
    <row r="2" customFormat="false" ht="31.5" hidden="false" customHeight="true" outlineLevel="0" collapsed="false">
      <c r="B2" s="8" t="s">
        <v>65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B3" s="2" t="s">
        <v>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67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30" hidden="false" customHeight="true" outlineLevel="0" collapsed="false">
      <c r="B6" s="11" t="s">
        <v>68</v>
      </c>
      <c r="C6" s="11" t="s">
        <v>34</v>
      </c>
      <c r="D6" s="11" t="s">
        <v>36</v>
      </c>
      <c r="E6" s="11" t="s">
        <v>38</v>
      </c>
      <c r="F6" s="11" t="s">
        <v>40</v>
      </c>
      <c r="G6" s="11" t="s">
        <v>41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60</v>
      </c>
    </row>
    <row r="7" customFormat="false" ht="15" hidden="false" customHeight="false" outlineLevel="0" collapsed="false">
      <c r="B7" s="2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2" t="n">
        <f aca="false">SUM(C7:M7)</f>
        <v>0</v>
      </c>
    </row>
    <row r="8" customFormat="false" ht="15" hidden="false" customHeight="false" outlineLevel="0" collapsed="false">
      <c r="B8" s="2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2" t="n">
        <f aca="false">SUM(C8:M8)</f>
        <v>0</v>
      </c>
    </row>
    <row r="9" customFormat="false" ht="15" hidden="false" customHeight="false" outlineLevel="0" collapsed="false">
      <c r="B9" s="2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2" t="n">
        <f aca="false">SUM(C9:M9)</f>
        <v>0</v>
      </c>
    </row>
    <row r="10" customFormat="false" ht="15" hidden="false" customHeight="false" outlineLevel="0" collapsed="false">
      <c r="B10" s="2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2" t="n">
        <f aca="false">SUM(C10:M10)</f>
        <v>0</v>
      </c>
    </row>
    <row r="11" customFormat="false" ht="15" hidden="false" customHeight="false" outlineLevel="0" collapsed="false">
      <c r="B11" s="2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2" t="n">
        <f aca="false">SUM(C11:M11)</f>
        <v>0</v>
      </c>
    </row>
    <row r="12" customFormat="false" ht="15" hidden="false" customHeight="false" outlineLevel="0" collapsed="false">
      <c r="B12" s="2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2" t="n">
        <f aca="false">SUM(C12:M12)</f>
        <v>0</v>
      </c>
    </row>
    <row r="13" customFormat="false" ht="15" hidden="false" customHeight="false" outlineLevel="0" collapsed="false">
      <c r="B13" s="2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2" t="n">
        <f aca="false">SUM(C13:M13)</f>
        <v>0</v>
      </c>
    </row>
    <row r="14" customFormat="false" ht="15" hidden="false" customHeight="false" outlineLevel="0" collapsed="false">
      <c r="B14" s="2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2" t="n">
        <f aca="false">SUM(C14:M14)</f>
        <v>0</v>
      </c>
    </row>
    <row r="15" customFormat="false" ht="15" hidden="false" customHeight="false" outlineLevel="0" collapsed="false">
      <c r="B15" s="2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2" t="n">
        <f aca="false">SUM(C15:M15)</f>
        <v>0</v>
      </c>
    </row>
    <row r="16" customFormat="false" ht="15" hidden="false" customHeight="false" outlineLevel="0" collapsed="false">
      <c r="B16" s="2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" t="n">
        <f aca="false">SUM(C16:M16)</f>
        <v>0</v>
      </c>
    </row>
    <row r="17" customFormat="false" ht="15" hidden="false" customHeight="false" outlineLevel="0" collapsed="false">
      <c r="B17" s="2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2" t="n">
        <f aca="false">SUM(C17:M17)</f>
        <v>0</v>
      </c>
    </row>
    <row r="18" customFormat="false" ht="15" hidden="false" customHeight="false" outlineLevel="0" collapsed="false">
      <c r="B18" s="2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2" t="n">
        <f aca="false">SUM(C18:M18)</f>
        <v>0</v>
      </c>
    </row>
    <row r="19" customFormat="false" ht="15" hidden="false" customHeight="false" outlineLevel="0" collapsed="false">
      <c r="B19" s="17" t="s">
        <v>60</v>
      </c>
      <c r="C19" s="23" t="n">
        <f aca="false">SUM(C7:C18)</f>
        <v>0</v>
      </c>
      <c r="D19" s="23" t="n">
        <f aca="false">SUM(D7:D18)</f>
        <v>0</v>
      </c>
      <c r="E19" s="23" t="n">
        <f aca="false">SUM(E7:E18)</f>
        <v>0</v>
      </c>
      <c r="F19" s="23" t="n">
        <f aca="false">SUM(F7:F18)</f>
        <v>0</v>
      </c>
      <c r="G19" s="23" t="n">
        <f aca="false">SUM(G7:G18)</f>
        <v>0</v>
      </c>
      <c r="H19" s="23" t="n">
        <f aca="false">SUM(H7:H18)</f>
        <v>0</v>
      </c>
      <c r="I19" s="23" t="n">
        <f aca="false">SUM(I7:I18)</f>
        <v>0</v>
      </c>
      <c r="J19" s="23" t="n">
        <f aca="false">SUM(J7:J18)</f>
        <v>0</v>
      </c>
      <c r="K19" s="23" t="n">
        <f aca="false">SUM(K7:K18)</f>
        <v>0</v>
      </c>
      <c r="L19" s="23" t="n">
        <f aca="false">SUM(L7:L18)</f>
        <v>0</v>
      </c>
      <c r="M19" s="23" t="n">
        <f aca="false">SUM(M7:M18)</f>
        <v>0</v>
      </c>
      <c r="N19" s="23" t="n">
        <f aca="false">SUM(N7:N18)</f>
        <v>0</v>
      </c>
    </row>
  </sheetData>
  <autoFilter ref="B6:N18"/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</cols>
  <sheetData>
    <row r="2" customFormat="false" ht="31.5" hidden="false" customHeight="true" outlineLevel="0" collapsed="false">
      <c r="B2" s="8" t="s">
        <v>69</v>
      </c>
      <c r="C2" s="8"/>
      <c r="D2" s="8"/>
      <c r="E2" s="8"/>
      <c r="F2" s="8"/>
      <c r="G2" s="8"/>
      <c r="H2" s="8"/>
      <c r="I2" s="8"/>
      <c r="J2" s="8"/>
      <c r="K2" s="8"/>
    </row>
    <row r="3" customFormat="false" ht="15" hidden="false" customHeight="false" outlineLevel="0" collapsed="false">
      <c r="B3" s="2" t="s">
        <v>70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71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33.75" hidden="false" customHeight="true" outlineLevel="0" collapsed="false">
      <c r="B6" s="11" t="s">
        <v>72</v>
      </c>
      <c r="C6" s="11" t="s">
        <v>73</v>
      </c>
      <c r="D6" s="11" t="s">
        <v>27</v>
      </c>
      <c r="E6" s="11" t="s">
        <v>74</v>
      </c>
      <c r="F6" s="11" t="s">
        <v>75</v>
      </c>
      <c r="G6" s="11" t="s">
        <v>76</v>
      </c>
      <c r="H6" s="11" t="s">
        <v>77</v>
      </c>
      <c r="I6" s="11" t="s">
        <v>78</v>
      </c>
      <c r="J6" s="11" t="s">
        <v>79</v>
      </c>
      <c r="K6" s="11" t="s">
        <v>80</v>
      </c>
    </row>
    <row r="7" customFormat="false" ht="15" hidden="false" customHeight="false" outlineLevel="0" collapsed="false">
      <c r="B7" s="25"/>
      <c r="C7" s="26"/>
      <c r="D7" s="26"/>
      <c r="E7" s="27"/>
      <c r="F7" s="28"/>
      <c r="G7" s="28"/>
      <c r="H7" s="29" t="str">
        <f aca="false">IF(OR(F7="",G7=""),"",(F7-G7)*IFERROR(E7,0))</f>
        <v/>
      </c>
      <c r="I7" s="27"/>
      <c r="J7" s="27"/>
      <c r="K7" s="30" t="str">
        <f aca="false">IF(OR(I7="",J7=""),"",IF(I7&lt;J7,(J7*2)-I7,0))</f>
        <v/>
      </c>
    </row>
    <row r="8" customFormat="false" ht="15" hidden="false" customHeight="false" outlineLevel="0" collapsed="false">
      <c r="B8" s="25"/>
      <c r="C8" s="26"/>
      <c r="D8" s="26"/>
      <c r="E8" s="27"/>
      <c r="F8" s="28"/>
      <c r="G8" s="28"/>
      <c r="H8" s="29" t="str">
        <f aca="false">IF(OR(F8="",G8=""),"",(F8-G8)*IFERROR(E8,0))</f>
        <v/>
      </c>
      <c r="I8" s="27"/>
      <c r="J8" s="27"/>
      <c r="K8" s="30" t="str">
        <f aca="false">IF(OR(I8="",J8=""),"",IF(I8&lt;J8,(J8*2)-I8,0))</f>
        <v/>
      </c>
    </row>
    <row r="9" customFormat="false" ht="15" hidden="false" customHeight="false" outlineLevel="0" collapsed="false">
      <c r="B9" s="25"/>
      <c r="C9" s="26"/>
      <c r="D9" s="26"/>
      <c r="E9" s="27"/>
      <c r="F9" s="28"/>
      <c r="G9" s="28"/>
      <c r="H9" s="29" t="str">
        <f aca="false">IF(OR(F9="",G9=""),"",(F9-G9)*IFERROR(E9,0))</f>
        <v/>
      </c>
      <c r="I9" s="27"/>
      <c r="J9" s="27"/>
      <c r="K9" s="30" t="str">
        <f aca="false">IF(OR(I9="",J9=""),"",IF(I9&lt;J9,(J9*2)-I9,0))</f>
        <v/>
      </c>
    </row>
    <row r="10" customFormat="false" ht="15" hidden="false" customHeight="false" outlineLevel="0" collapsed="false">
      <c r="B10" s="25"/>
      <c r="C10" s="26"/>
      <c r="D10" s="26"/>
      <c r="E10" s="27"/>
      <c r="F10" s="28"/>
      <c r="G10" s="28"/>
      <c r="H10" s="29" t="str">
        <f aca="false">IF(OR(F10="",G10=""),"",(F10-G10)*IFERROR(E10,0))</f>
        <v/>
      </c>
      <c r="I10" s="27"/>
      <c r="J10" s="27"/>
      <c r="K10" s="30" t="str">
        <f aca="false">IF(OR(I10="",J10=""),"",IF(I10&lt;J10,(J10*2)-I10,0))</f>
        <v/>
      </c>
    </row>
    <row r="11" customFormat="false" ht="15" hidden="false" customHeight="false" outlineLevel="0" collapsed="false">
      <c r="B11" s="25"/>
      <c r="C11" s="26"/>
      <c r="D11" s="26"/>
      <c r="E11" s="27"/>
      <c r="F11" s="28"/>
      <c r="G11" s="28"/>
      <c r="H11" s="29" t="str">
        <f aca="false">IF(OR(F11="",G11=""),"",(F11-G11)*IFERROR(E11,0))</f>
        <v/>
      </c>
      <c r="I11" s="27"/>
      <c r="J11" s="27"/>
      <c r="K11" s="30" t="str">
        <f aca="false">IF(OR(I11="",J11=""),"",IF(I11&lt;J11,(J11*2)-I11,0))</f>
        <v/>
      </c>
    </row>
    <row r="12" customFormat="false" ht="15" hidden="false" customHeight="false" outlineLevel="0" collapsed="false">
      <c r="B12" s="25"/>
      <c r="C12" s="26"/>
      <c r="D12" s="26"/>
      <c r="E12" s="27"/>
      <c r="F12" s="28"/>
      <c r="G12" s="28"/>
      <c r="H12" s="29" t="str">
        <f aca="false">IF(OR(F12="",G12=""),"",(F12-G12)*IFERROR(E12,0))</f>
        <v/>
      </c>
      <c r="I12" s="27"/>
      <c r="J12" s="27"/>
      <c r="K12" s="30" t="str">
        <f aca="false">IF(OR(I12="",J12=""),"",IF(I12&lt;J12,(J12*2)-I12,0))</f>
        <v/>
      </c>
    </row>
    <row r="13" customFormat="false" ht="15" hidden="false" customHeight="false" outlineLevel="0" collapsed="false">
      <c r="B13" s="25"/>
      <c r="C13" s="26"/>
      <c r="D13" s="26"/>
      <c r="E13" s="27"/>
      <c r="F13" s="28"/>
      <c r="G13" s="28"/>
      <c r="H13" s="29" t="str">
        <f aca="false">IF(OR(F13="",G13=""),"",(F13-G13)*IFERROR(E13,0))</f>
        <v/>
      </c>
      <c r="I13" s="27"/>
      <c r="J13" s="27"/>
      <c r="K13" s="30" t="str">
        <f aca="false">IF(OR(I13="",J13=""),"",IF(I13&lt;J13,(J13*2)-I13,0))</f>
        <v/>
      </c>
    </row>
    <row r="14" customFormat="false" ht="15" hidden="false" customHeight="false" outlineLevel="0" collapsed="false">
      <c r="B14" s="25"/>
      <c r="C14" s="26"/>
      <c r="D14" s="26"/>
      <c r="E14" s="27"/>
      <c r="F14" s="28"/>
      <c r="G14" s="28"/>
      <c r="H14" s="29" t="str">
        <f aca="false">IF(OR(F14="",G14=""),"",(F14-G14)*IFERROR(E14,0))</f>
        <v/>
      </c>
      <c r="I14" s="27"/>
      <c r="J14" s="27"/>
      <c r="K14" s="30" t="str">
        <f aca="false">IF(OR(I14="",J14=""),"",IF(I14&lt;J14,(J14*2)-I14,0))</f>
        <v/>
      </c>
    </row>
    <row r="15" customFormat="false" ht="15" hidden="false" customHeight="false" outlineLevel="0" collapsed="false">
      <c r="B15" s="25"/>
      <c r="C15" s="26"/>
      <c r="D15" s="26"/>
      <c r="E15" s="27"/>
      <c r="F15" s="28"/>
      <c r="G15" s="28"/>
      <c r="H15" s="29" t="str">
        <f aca="false">IF(OR(F15="",G15=""),"",(F15-G15)*IFERROR(E15,0))</f>
        <v/>
      </c>
      <c r="I15" s="27"/>
      <c r="J15" s="27"/>
      <c r="K15" s="30" t="str">
        <f aca="false">IF(OR(I15="",J15=""),"",IF(I15&lt;J15,(J15*2)-I15,0))</f>
        <v/>
      </c>
    </row>
    <row r="16" customFormat="false" ht="15" hidden="false" customHeight="false" outlineLevel="0" collapsed="false">
      <c r="B16" s="25"/>
      <c r="C16" s="26"/>
      <c r="D16" s="26"/>
      <c r="E16" s="27"/>
      <c r="F16" s="28"/>
      <c r="G16" s="28"/>
      <c r="H16" s="29" t="str">
        <f aca="false">IF(OR(F16="",G16=""),"",(F16-G16)*IFERROR(E16,0))</f>
        <v/>
      </c>
      <c r="I16" s="27"/>
      <c r="J16" s="27"/>
      <c r="K16" s="30" t="str">
        <f aca="false">IF(OR(I16="",J16=""),"",IF(I16&lt;J16,(J16*2)-I16,0))</f>
        <v/>
      </c>
    </row>
    <row r="17" customFormat="false" ht="15" hidden="false" customHeight="false" outlineLevel="0" collapsed="false">
      <c r="B17" s="25"/>
      <c r="C17" s="26"/>
      <c r="D17" s="26"/>
      <c r="E17" s="27"/>
      <c r="F17" s="28"/>
      <c r="G17" s="28"/>
      <c r="H17" s="29" t="str">
        <f aca="false">IF(OR(F17="",G17=""),"",(F17-G17)*IFERROR(E17,0))</f>
        <v/>
      </c>
      <c r="I17" s="27"/>
      <c r="J17" s="27"/>
      <c r="K17" s="30" t="str">
        <f aca="false">IF(OR(I17="",J17=""),"",IF(I17&lt;J17,(J17*2)-I17,0))</f>
        <v/>
      </c>
    </row>
    <row r="18" customFormat="false" ht="15" hidden="false" customHeight="false" outlineLevel="0" collapsed="false">
      <c r="B18" s="25"/>
      <c r="C18" s="26"/>
      <c r="D18" s="26"/>
      <c r="E18" s="27"/>
      <c r="F18" s="28"/>
      <c r="G18" s="28"/>
      <c r="H18" s="29" t="str">
        <f aca="false">IF(OR(F18="",G18=""),"",(F18-G18)*IFERROR(E18,0))</f>
        <v/>
      </c>
      <c r="I18" s="27"/>
      <c r="J18" s="27"/>
      <c r="K18" s="30" t="str">
        <f aca="false">IF(OR(I18="",J18=""),"",IF(I18&lt;J18,(J18*2)-I18,0))</f>
        <v/>
      </c>
    </row>
    <row r="19" customFormat="false" ht="15" hidden="false" customHeight="false" outlineLevel="0" collapsed="false">
      <c r="B19" s="25"/>
      <c r="C19" s="26"/>
      <c r="D19" s="26"/>
      <c r="E19" s="27"/>
      <c r="F19" s="28"/>
      <c r="G19" s="28"/>
      <c r="H19" s="29" t="str">
        <f aca="false">IF(OR(F19="",G19=""),"",(F19-G19)*IFERROR(E19,0))</f>
        <v/>
      </c>
      <c r="I19" s="27"/>
      <c r="J19" s="27"/>
      <c r="K19" s="30" t="str">
        <f aca="false">IF(OR(I19="",J19=""),"",IF(I19&lt;J19,(J19*2)-I19,0))</f>
        <v/>
      </c>
    </row>
    <row r="20" customFormat="false" ht="15" hidden="false" customHeight="false" outlineLevel="0" collapsed="false">
      <c r="B20" s="25"/>
      <c r="C20" s="26"/>
      <c r="D20" s="26"/>
      <c r="E20" s="27"/>
      <c r="F20" s="28"/>
      <c r="G20" s="28"/>
      <c r="H20" s="29" t="str">
        <f aca="false">IF(OR(F20="",G20=""),"",(F20-G20)*IFERROR(E20,0))</f>
        <v/>
      </c>
      <c r="I20" s="27"/>
      <c r="J20" s="27"/>
      <c r="K20" s="30" t="str">
        <f aca="false">IF(OR(I20="",J20=""),"",IF(I20&lt;J20,(J20*2)-I20,0))</f>
        <v/>
      </c>
    </row>
    <row r="21" customFormat="false" ht="15" hidden="false" customHeight="false" outlineLevel="0" collapsed="false">
      <c r="B21" s="25"/>
      <c r="C21" s="26"/>
      <c r="D21" s="26"/>
      <c r="E21" s="27"/>
      <c r="F21" s="28"/>
      <c r="G21" s="28"/>
      <c r="H21" s="29" t="str">
        <f aca="false">IF(OR(F21="",G21=""),"",(F21-G21)*IFERROR(E21,0))</f>
        <v/>
      </c>
      <c r="I21" s="27"/>
      <c r="J21" s="27"/>
      <c r="K21" s="30" t="str">
        <f aca="false">IF(OR(I21="",J21=""),"",IF(I21&lt;J21,(J21*2)-I21,0))</f>
        <v/>
      </c>
    </row>
    <row r="22" customFormat="false" ht="15" hidden="false" customHeight="false" outlineLevel="0" collapsed="false">
      <c r="B22" s="25"/>
      <c r="C22" s="26"/>
      <c r="D22" s="26"/>
      <c r="E22" s="27"/>
      <c r="F22" s="28"/>
      <c r="G22" s="28"/>
      <c r="H22" s="29" t="str">
        <f aca="false">IF(OR(F22="",G22=""),"",(F22-G22)*IFERROR(E22,0))</f>
        <v/>
      </c>
      <c r="I22" s="27"/>
      <c r="J22" s="27"/>
      <c r="K22" s="30" t="str">
        <f aca="false">IF(OR(I22="",J22=""),"",IF(I22&lt;J22,(J22*2)-I22,0))</f>
        <v/>
      </c>
    </row>
    <row r="23" customFormat="false" ht="15" hidden="false" customHeight="false" outlineLevel="0" collapsed="false">
      <c r="B23" s="25"/>
      <c r="C23" s="26"/>
      <c r="D23" s="26"/>
      <c r="E23" s="27"/>
      <c r="F23" s="28"/>
      <c r="G23" s="28"/>
      <c r="H23" s="29" t="str">
        <f aca="false">IF(OR(F23="",G23=""),"",(F23-G23)*IFERROR(E23,0))</f>
        <v/>
      </c>
      <c r="I23" s="27"/>
      <c r="J23" s="27"/>
      <c r="K23" s="30" t="str">
        <f aca="false">IF(OR(I23="",J23=""),"",IF(I23&lt;J23,(J23*2)-I23,0))</f>
        <v/>
      </c>
    </row>
    <row r="24" customFormat="false" ht="15" hidden="false" customHeight="false" outlineLevel="0" collapsed="false">
      <c r="B24" s="25"/>
      <c r="C24" s="26"/>
      <c r="D24" s="26"/>
      <c r="E24" s="27"/>
      <c r="F24" s="28"/>
      <c r="G24" s="28"/>
      <c r="H24" s="29" t="str">
        <f aca="false">IF(OR(F24="",G24=""),"",(F24-G24)*IFERROR(E24,0))</f>
        <v/>
      </c>
      <c r="I24" s="27"/>
      <c r="J24" s="27"/>
      <c r="K24" s="30" t="str">
        <f aca="false">IF(OR(I24="",J24=""),"",IF(I24&lt;J24,(J24*2)-I24,0))</f>
        <v/>
      </c>
    </row>
    <row r="25" customFormat="false" ht="15" hidden="false" customHeight="false" outlineLevel="0" collapsed="false">
      <c r="B25" s="25"/>
      <c r="C25" s="26"/>
      <c r="D25" s="26"/>
      <c r="E25" s="27"/>
      <c r="F25" s="28"/>
      <c r="G25" s="28"/>
      <c r="H25" s="29" t="str">
        <f aca="false">IF(OR(F25="",G25=""),"",(F25-G25)*IFERROR(E25,0))</f>
        <v/>
      </c>
      <c r="I25" s="27"/>
      <c r="J25" s="27"/>
      <c r="K25" s="30" t="str">
        <f aca="false">IF(OR(I25="",J25=""),"",IF(I25&lt;J25,(J25*2)-I25,0))</f>
        <v/>
      </c>
    </row>
    <row r="26" customFormat="false" ht="15" hidden="false" customHeight="false" outlineLevel="0" collapsed="false">
      <c r="B26" s="25"/>
      <c r="C26" s="26"/>
      <c r="D26" s="26"/>
      <c r="E26" s="27"/>
      <c r="F26" s="28"/>
      <c r="G26" s="28"/>
      <c r="H26" s="29" t="str">
        <f aca="false">IF(OR(F26="",G26=""),"",(F26-G26)*IFERROR(E26,0))</f>
        <v/>
      </c>
      <c r="I26" s="27"/>
      <c r="J26" s="27"/>
      <c r="K26" s="30" t="str">
        <f aca="false">IF(OR(I26="",J26=""),"",IF(I26&lt;J26,(J26*2)-I26,0))</f>
        <v/>
      </c>
    </row>
    <row r="27" customFormat="false" ht="15" hidden="false" customHeight="false" outlineLevel="0" collapsed="false">
      <c r="B27" s="25"/>
      <c r="C27" s="26"/>
      <c r="D27" s="26"/>
      <c r="E27" s="27"/>
      <c r="F27" s="28"/>
      <c r="G27" s="28"/>
      <c r="H27" s="29" t="str">
        <f aca="false">IF(OR(F27="",G27=""),"",(F27-G27)*IFERROR(E27,0))</f>
        <v/>
      </c>
      <c r="I27" s="27"/>
      <c r="J27" s="27"/>
      <c r="K27" s="30" t="str">
        <f aca="false">IF(OR(I27="",J27=""),"",IF(I27&lt;J27,(J27*2)-I27,0))</f>
        <v/>
      </c>
    </row>
    <row r="28" customFormat="false" ht="15" hidden="false" customHeight="false" outlineLevel="0" collapsed="false">
      <c r="B28" s="25"/>
      <c r="C28" s="26"/>
      <c r="D28" s="26"/>
      <c r="E28" s="27"/>
      <c r="F28" s="28"/>
      <c r="G28" s="28"/>
      <c r="H28" s="29" t="str">
        <f aca="false">IF(OR(F28="",G28=""),"",(F28-G28)*IFERROR(E28,0))</f>
        <v/>
      </c>
      <c r="I28" s="27"/>
      <c r="J28" s="27"/>
      <c r="K28" s="30" t="str">
        <f aca="false">IF(OR(I28="",J28=""),"",IF(I28&lt;J28,(J28*2)-I28,0))</f>
        <v/>
      </c>
    </row>
    <row r="29" customFormat="false" ht="15" hidden="false" customHeight="false" outlineLevel="0" collapsed="false">
      <c r="B29" s="25"/>
      <c r="C29" s="26"/>
      <c r="D29" s="26"/>
      <c r="E29" s="27"/>
      <c r="F29" s="28"/>
      <c r="G29" s="28"/>
      <c r="H29" s="29" t="str">
        <f aca="false">IF(OR(F29="",G29=""),"",(F29-G29)*IFERROR(E29,0))</f>
        <v/>
      </c>
      <c r="I29" s="27"/>
      <c r="J29" s="27"/>
      <c r="K29" s="30" t="str">
        <f aca="false">IF(OR(I29="",J29=""),"",IF(I29&lt;J29,(J29*2)-I29,0))</f>
        <v/>
      </c>
    </row>
    <row r="30" customFormat="false" ht="15" hidden="false" customHeight="false" outlineLevel="0" collapsed="false">
      <c r="B30" s="25"/>
      <c r="C30" s="26"/>
      <c r="D30" s="26"/>
      <c r="E30" s="27"/>
      <c r="F30" s="28"/>
      <c r="G30" s="28"/>
      <c r="H30" s="29" t="str">
        <f aca="false">IF(OR(F30="",G30=""),"",(F30-G30)*IFERROR(E30,0))</f>
        <v/>
      </c>
      <c r="I30" s="27"/>
      <c r="J30" s="27"/>
      <c r="K30" s="30" t="str">
        <f aca="false">IF(OR(I30="",J30=""),"",IF(I30&lt;J30,(J30*2)-I30,0))</f>
        <v/>
      </c>
    </row>
    <row r="31" customFormat="false" ht="15" hidden="false" customHeight="false" outlineLevel="0" collapsed="false">
      <c r="B31" s="25"/>
      <c r="C31" s="26"/>
      <c r="D31" s="26"/>
      <c r="E31" s="27"/>
      <c r="F31" s="28"/>
      <c r="G31" s="28"/>
      <c r="H31" s="29" t="str">
        <f aca="false">IF(OR(F31="",G31=""),"",(F31-G31)*IFERROR(E31,0))</f>
        <v/>
      </c>
      <c r="I31" s="27"/>
      <c r="J31" s="27"/>
      <c r="K31" s="30" t="str">
        <f aca="false">IF(OR(I31="",J31=""),"",IF(I31&lt;J31,(J31*2)-I31,0))</f>
        <v/>
      </c>
    </row>
    <row r="32" customFormat="false" ht="15" hidden="false" customHeight="false" outlineLevel="0" collapsed="false">
      <c r="B32" s="25"/>
      <c r="C32" s="26"/>
      <c r="D32" s="26"/>
      <c r="E32" s="27"/>
      <c r="F32" s="28"/>
      <c r="G32" s="28"/>
      <c r="H32" s="29" t="str">
        <f aca="false">IF(OR(F32="",G32=""),"",(F32-G32)*IFERROR(E32,0))</f>
        <v/>
      </c>
      <c r="I32" s="27"/>
      <c r="J32" s="27"/>
      <c r="K32" s="30" t="str">
        <f aca="false">IF(OR(I32="",J32=""),"",IF(I32&lt;J32,(J32*2)-I32,0))</f>
        <v/>
      </c>
    </row>
    <row r="33" customFormat="false" ht="15" hidden="false" customHeight="false" outlineLevel="0" collapsed="false">
      <c r="B33" s="25"/>
      <c r="C33" s="26"/>
      <c r="D33" s="26"/>
      <c r="E33" s="27"/>
      <c r="F33" s="28"/>
      <c r="G33" s="28"/>
      <c r="H33" s="29" t="str">
        <f aca="false">IF(OR(F33="",G33=""),"",(F33-G33)*IFERROR(E33,0))</f>
        <v/>
      </c>
      <c r="I33" s="27"/>
      <c r="J33" s="27"/>
      <c r="K33" s="30" t="str">
        <f aca="false">IF(OR(I33="",J33=""),"",IF(I33&lt;J33,(J33*2)-I33,0))</f>
        <v/>
      </c>
    </row>
    <row r="34" customFormat="false" ht="15" hidden="false" customHeight="false" outlineLevel="0" collapsed="false">
      <c r="B34" s="25"/>
      <c r="C34" s="26"/>
      <c r="D34" s="26"/>
      <c r="E34" s="27"/>
      <c r="F34" s="28"/>
      <c r="G34" s="28"/>
      <c r="H34" s="29" t="str">
        <f aca="false">IF(OR(F34="",G34=""),"",(F34-G34)*IFERROR(E34,0))</f>
        <v/>
      </c>
      <c r="I34" s="27"/>
      <c r="J34" s="27"/>
      <c r="K34" s="30" t="str">
        <f aca="false">IF(OR(I34="",J34=""),"",IF(I34&lt;J34,(J34*2)-I34,0))</f>
        <v/>
      </c>
    </row>
    <row r="35" customFormat="false" ht="15" hidden="false" customHeight="false" outlineLevel="0" collapsed="false">
      <c r="B35" s="25"/>
      <c r="C35" s="26"/>
      <c r="D35" s="26"/>
      <c r="E35" s="27"/>
      <c r="F35" s="28"/>
      <c r="G35" s="28"/>
      <c r="H35" s="29" t="str">
        <f aca="false">IF(OR(F35="",G35=""),"",(F35-G35)*IFERROR(E35,0))</f>
        <v/>
      </c>
      <c r="I35" s="27"/>
      <c r="J35" s="27"/>
      <c r="K35" s="30" t="str">
        <f aca="false">IF(OR(I35="",J35=""),"",IF(I35&lt;J35,(J35*2)-I35,0))</f>
        <v/>
      </c>
    </row>
    <row r="36" customFormat="false" ht="15" hidden="false" customHeight="false" outlineLevel="0" collapsed="false">
      <c r="B36" s="25"/>
      <c r="C36" s="26"/>
      <c r="D36" s="26"/>
      <c r="E36" s="27"/>
      <c r="F36" s="28"/>
      <c r="G36" s="28"/>
      <c r="H36" s="29" t="str">
        <f aca="false">IF(OR(F36="",G36=""),"",(F36-G36)*IFERROR(E36,0))</f>
        <v/>
      </c>
      <c r="I36" s="27"/>
      <c r="J36" s="27"/>
      <c r="K36" s="30" t="str">
        <f aca="false">IF(OR(I36="",J36=""),"",IF(I36&lt;J36,(J36*2)-I36,0))</f>
        <v/>
      </c>
    </row>
    <row r="37" customFormat="false" ht="15" hidden="false" customHeight="false" outlineLevel="0" collapsed="false">
      <c r="B37" s="25"/>
      <c r="C37" s="26"/>
      <c r="D37" s="26"/>
      <c r="E37" s="27"/>
      <c r="F37" s="28"/>
      <c r="G37" s="28"/>
      <c r="H37" s="29" t="str">
        <f aca="false">IF(OR(F37="",G37=""),"",(F37-G37)*IFERROR(E37,0))</f>
        <v/>
      </c>
      <c r="I37" s="27"/>
      <c r="J37" s="27"/>
      <c r="K37" s="30" t="str">
        <f aca="false">IF(OR(I37="",J37=""),"",IF(I37&lt;J37,(J37*2)-I37,0))</f>
        <v/>
      </c>
    </row>
    <row r="38" customFormat="false" ht="15" hidden="false" customHeight="false" outlineLevel="0" collapsed="false">
      <c r="B38" s="25"/>
      <c r="C38" s="26"/>
      <c r="D38" s="26"/>
      <c r="E38" s="27"/>
      <c r="F38" s="28"/>
      <c r="G38" s="28"/>
      <c r="H38" s="29" t="str">
        <f aca="false">IF(OR(F38="",G38=""),"",(F38-G38)*IFERROR(E38,0))</f>
        <v/>
      </c>
      <c r="I38" s="27"/>
      <c r="J38" s="27"/>
      <c r="K38" s="30" t="str">
        <f aca="false">IF(OR(I38="",J38=""),"",IF(I38&lt;J38,(J38*2)-I38,0))</f>
        <v/>
      </c>
    </row>
    <row r="39" customFormat="false" ht="15" hidden="false" customHeight="false" outlineLevel="0" collapsed="false">
      <c r="B39" s="25"/>
      <c r="C39" s="26"/>
      <c r="D39" s="26"/>
      <c r="E39" s="27"/>
      <c r="F39" s="28"/>
      <c r="G39" s="28"/>
      <c r="H39" s="29" t="str">
        <f aca="false">IF(OR(F39="",G39=""),"",(F39-G39)*IFERROR(E39,0))</f>
        <v/>
      </c>
      <c r="I39" s="27"/>
      <c r="J39" s="27"/>
      <c r="K39" s="30" t="str">
        <f aca="false">IF(OR(I39="",J39=""),"",IF(I39&lt;J39,(J39*2)-I39,0))</f>
        <v/>
      </c>
    </row>
    <row r="40" customFormat="false" ht="15" hidden="false" customHeight="false" outlineLevel="0" collapsed="false">
      <c r="B40" s="25"/>
      <c r="C40" s="26"/>
      <c r="D40" s="26"/>
      <c r="E40" s="27"/>
      <c r="F40" s="28"/>
      <c r="G40" s="28"/>
      <c r="H40" s="29" t="str">
        <f aca="false">IF(OR(F40="",G40=""),"",(F40-G40)*IFERROR(E40,0))</f>
        <v/>
      </c>
      <c r="I40" s="27"/>
      <c r="J40" s="27"/>
      <c r="K40" s="30" t="str">
        <f aca="false">IF(OR(I40="",J40=""),"",IF(I40&lt;J40,(J40*2)-I40,0))</f>
        <v/>
      </c>
    </row>
    <row r="41" customFormat="false" ht="15" hidden="false" customHeight="false" outlineLevel="0" collapsed="false">
      <c r="B41" s="25"/>
      <c r="C41" s="26"/>
      <c r="D41" s="26"/>
      <c r="E41" s="27"/>
      <c r="F41" s="28"/>
      <c r="G41" s="28"/>
      <c r="H41" s="29" t="str">
        <f aca="false">IF(OR(F41="",G41=""),"",(F41-G41)*IFERROR(E41,0))</f>
        <v/>
      </c>
      <c r="I41" s="27"/>
      <c r="J41" s="27"/>
      <c r="K41" s="30" t="str">
        <f aca="false">IF(OR(I41="",J41=""),"",IF(I41&lt;J41,(J41*2)-I41,0))</f>
        <v/>
      </c>
    </row>
    <row r="42" customFormat="false" ht="15" hidden="false" customHeight="false" outlineLevel="0" collapsed="false">
      <c r="B42" s="25"/>
      <c r="C42" s="26"/>
      <c r="D42" s="26"/>
      <c r="E42" s="27"/>
      <c r="F42" s="28"/>
      <c r="G42" s="28"/>
      <c r="H42" s="29" t="str">
        <f aca="false">IF(OR(F42="",G42=""),"",(F42-G42)*IFERROR(E42,0))</f>
        <v/>
      </c>
      <c r="I42" s="27"/>
      <c r="J42" s="27"/>
      <c r="K42" s="30" t="str">
        <f aca="false">IF(OR(I42="",J42=""),"",IF(I42&lt;J42,(J42*2)-I42,0))</f>
        <v/>
      </c>
    </row>
    <row r="43" customFormat="false" ht="15" hidden="false" customHeight="false" outlineLevel="0" collapsed="false">
      <c r="B43" s="25"/>
      <c r="C43" s="26"/>
      <c r="D43" s="26"/>
      <c r="E43" s="27"/>
      <c r="F43" s="28"/>
      <c r="G43" s="28"/>
      <c r="H43" s="29" t="str">
        <f aca="false">IF(OR(F43="",G43=""),"",(F43-G43)*IFERROR(E43,0))</f>
        <v/>
      </c>
      <c r="I43" s="27"/>
      <c r="J43" s="27"/>
      <c r="K43" s="30" t="str">
        <f aca="false">IF(OR(I43="",J43=""),"",IF(I43&lt;J43,(J43*2)-I43,0))</f>
        <v/>
      </c>
    </row>
    <row r="44" customFormat="false" ht="15" hidden="false" customHeight="false" outlineLevel="0" collapsed="false">
      <c r="B44" s="25"/>
      <c r="C44" s="26"/>
      <c r="D44" s="26"/>
      <c r="E44" s="27"/>
      <c r="F44" s="28"/>
      <c r="G44" s="28"/>
      <c r="H44" s="29" t="str">
        <f aca="false">IF(OR(F44="",G44=""),"",(F44-G44)*IFERROR(E44,0))</f>
        <v/>
      </c>
      <c r="I44" s="27"/>
      <c r="J44" s="27"/>
      <c r="K44" s="30" t="str">
        <f aca="false">IF(OR(I44="",J44=""),"",IF(I44&lt;J44,(J44*2)-I44,0))</f>
        <v/>
      </c>
    </row>
    <row r="45" customFormat="false" ht="15" hidden="false" customHeight="false" outlineLevel="0" collapsed="false">
      <c r="B45" s="25"/>
      <c r="C45" s="26"/>
      <c r="D45" s="26"/>
      <c r="E45" s="27"/>
      <c r="F45" s="28"/>
      <c r="G45" s="28"/>
      <c r="H45" s="29" t="str">
        <f aca="false">IF(OR(F45="",G45=""),"",(F45-G45)*IFERROR(E45,0))</f>
        <v/>
      </c>
      <c r="I45" s="27"/>
      <c r="J45" s="27"/>
      <c r="K45" s="30" t="str">
        <f aca="false">IF(OR(I45="",J45=""),"",IF(I45&lt;J45,(J45*2)-I45,0))</f>
        <v/>
      </c>
    </row>
    <row r="46" customFormat="false" ht="15" hidden="false" customHeight="false" outlineLevel="0" collapsed="false">
      <c r="B46" s="25"/>
      <c r="C46" s="26"/>
      <c r="D46" s="26"/>
      <c r="E46" s="27"/>
      <c r="F46" s="28"/>
      <c r="G46" s="28"/>
      <c r="H46" s="29" t="str">
        <f aca="false">IF(OR(F46="",G46=""),"",(F46-G46)*IFERROR(E46,0))</f>
        <v/>
      </c>
      <c r="I46" s="27"/>
      <c r="J46" s="27"/>
      <c r="K46" s="30" t="str">
        <f aca="false">IF(OR(I46="",J46=""),"",IF(I46&lt;J46,(J46*2)-I46,0))</f>
        <v/>
      </c>
    </row>
    <row r="48" customFormat="false" ht="15" hidden="false" customHeight="false" outlineLevel="0" collapsed="false">
      <c r="B48" s="6" t="s">
        <v>50</v>
      </c>
    </row>
    <row r="49" customFormat="false" ht="15" hidden="false" customHeight="false" outlineLevel="0" collapsed="false">
      <c r="B49" s="7" t="s">
        <v>81</v>
      </c>
      <c r="C49" s="7"/>
      <c r="D49" s="7"/>
      <c r="E49" s="7"/>
      <c r="F49" s="7"/>
      <c r="G49" s="7"/>
      <c r="H49" s="7"/>
      <c r="I49" s="7"/>
      <c r="J49" s="7"/>
      <c r="K49" s="7"/>
    </row>
    <row r="50" customFormat="false" ht="15" hidden="false" customHeight="false" outlineLevel="0" collapsed="false">
      <c r="B50" s="7" t="s">
        <v>82</v>
      </c>
      <c r="C50" s="7"/>
      <c r="D50" s="7"/>
      <c r="E50" s="7"/>
      <c r="F50" s="7"/>
      <c r="G50" s="7"/>
      <c r="H50" s="7"/>
      <c r="I50" s="7"/>
      <c r="J50" s="7"/>
      <c r="K50" s="7"/>
    </row>
    <row r="51" customFormat="false" ht="15" hidden="false" customHeight="false" outlineLevel="0" collapsed="false">
      <c r="B51" s="7" t="s">
        <v>83</v>
      </c>
      <c r="C51" s="7"/>
      <c r="D51" s="7"/>
      <c r="E51" s="7"/>
      <c r="F51" s="7"/>
      <c r="G51" s="7"/>
      <c r="H51" s="7"/>
      <c r="I51" s="7"/>
      <c r="J51" s="7"/>
      <c r="K51" s="7"/>
    </row>
  </sheetData>
  <autoFilter ref="B6:K46"/>
  <mergeCells count="5">
    <mergeCell ref="B2:K2"/>
    <mergeCell ref="B3:K3"/>
    <mergeCell ref="B49:K49"/>
    <mergeCell ref="B50:K50"/>
    <mergeCell ref="B51:K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31.5" hidden="false" customHeight="true" outlineLevel="0" collapsed="false">
      <c r="B2" s="8" t="s">
        <v>84</v>
      </c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B3" s="2" t="s">
        <v>85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86</v>
      </c>
      <c r="C5" s="3"/>
      <c r="D5" s="3"/>
      <c r="E5" s="3"/>
      <c r="F5" s="3"/>
      <c r="G5" s="3"/>
      <c r="H5" s="3"/>
      <c r="I5" s="3"/>
    </row>
    <row r="6" customFormat="false" ht="30" hidden="false" customHeight="true" outlineLevel="0" collapsed="false">
      <c r="B6" s="11" t="s">
        <v>72</v>
      </c>
      <c r="C6" s="11" t="s">
        <v>87</v>
      </c>
      <c r="D6" s="11" t="s">
        <v>88</v>
      </c>
      <c r="E6" s="11" t="s">
        <v>78</v>
      </c>
      <c r="F6" s="11" t="s">
        <v>79</v>
      </c>
      <c r="G6" s="11" t="s">
        <v>89</v>
      </c>
      <c r="H6" s="11" t="s">
        <v>80</v>
      </c>
      <c r="I6" s="11" t="s">
        <v>90</v>
      </c>
    </row>
    <row r="7" customFormat="false" ht="15" hidden="false" customHeight="false" outlineLevel="0" collapsed="false">
      <c r="B7" s="31"/>
      <c r="C7" s="32"/>
      <c r="D7" s="32"/>
      <c r="E7" s="27"/>
      <c r="F7" s="27"/>
      <c r="G7" s="28"/>
      <c r="H7" s="30" t="str">
        <f aca="false">IF(OR(E7="",F7=""),"",IF(E7&lt;F7,(F7*2)-E7,0))</f>
        <v/>
      </c>
      <c r="I7" s="33" t="str">
        <f aca="false">IF(OR(E7="",F7=""),"",IF(E7&lt;F7,"REPONER","OK"))</f>
        <v/>
      </c>
    </row>
    <row r="8" customFormat="false" ht="15" hidden="false" customHeight="false" outlineLevel="0" collapsed="false">
      <c r="B8" s="31"/>
      <c r="C8" s="32"/>
      <c r="D8" s="32"/>
      <c r="E8" s="27"/>
      <c r="F8" s="27"/>
      <c r="G8" s="28"/>
      <c r="H8" s="30" t="str">
        <f aca="false">IF(OR(E8="",F8=""),"",IF(E8&lt;F8,(F8*2)-E8,0))</f>
        <v/>
      </c>
      <c r="I8" s="33" t="str">
        <f aca="false">IF(OR(E8="",F8=""),"",IF(E8&lt;F8,"REPONER","OK"))</f>
        <v/>
      </c>
    </row>
    <row r="9" customFormat="false" ht="15" hidden="false" customHeight="false" outlineLevel="0" collapsed="false">
      <c r="B9" s="31"/>
      <c r="C9" s="32"/>
      <c r="D9" s="32"/>
      <c r="E9" s="27"/>
      <c r="F9" s="27"/>
      <c r="G9" s="28"/>
      <c r="H9" s="30" t="str">
        <f aca="false">IF(OR(E9="",F9=""),"",IF(E9&lt;F9,(F9*2)-E9,0))</f>
        <v/>
      </c>
      <c r="I9" s="33" t="str">
        <f aca="false">IF(OR(E9="",F9=""),"",IF(E9&lt;F9,"REPONER","OK"))</f>
        <v/>
      </c>
    </row>
    <row r="10" customFormat="false" ht="15" hidden="false" customHeight="false" outlineLevel="0" collapsed="false">
      <c r="B10" s="31"/>
      <c r="C10" s="32"/>
      <c r="D10" s="32"/>
      <c r="E10" s="27"/>
      <c r="F10" s="27"/>
      <c r="G10" s="28"/>
      <c r="H10" s="30" t="str">
        <f aca="false">IF(OR(E10="",F10=""),"",IF(E10&lt;F10,(F10*2)-E10,0))</f>
        <v/>
      </c>
      <c r="I10" s="33" t="str">
        <f aca="false">IF(OR(E10="",F10=""),"",IF(E10&lt;F10,"REPONER","OK"))</f>
        <v/>
      </c>
    </row>
    <row r="11" customFormat="false" ht="15" hidden="false" customHeight="false" outlineLevel="0" collapsed="false">
      <c r="B11" s="31"/>
      <c r="C11" s="32"/>
      <c r="D11" s="32"/>
      <c r="E11" s="27"/>
      <c r="F11" s="27"/>
      <c r="G11" s="28"/>
      <c r="H11" s="30" t="str">
        <f aca="false">IF(OR(E11="",F11=""),"",IF(E11&lt;F11,(F11*2)-E11,0))</f>
        <v/>
      </c>
      <c r="I11" s="33" t="str">
        <f aca="false">IF(OR(E11="",F11=""),"",IF(E11&lt;F11,"REPONER","OK"))</f>
        <v/>
      </c>
    </row>
    <row r="12" customFormat="false" ht="15" hidden="false" customHeight="false" outlineLevel="0" collapsed="false">
      <c r="B12" s="31"/>
      <c r="C12" s="32"/>
      <c r="D12" s="32"/>
      <c r="E12" s="27"/>
      <c r="F12" s="27"/>
      <c r="G12" s="28"/>
      <c r="H12" s="30" t="str">
        <f aca="false">IF(OR(E12="",F12=""),"",IF(E12&lt;F12,(F12*2)-E12,0))</f>
        <v/>
      </c>
      <c r="I12" s="33" t="str">
        <f aca="false">IF(OR(E12="",F12=""),"",IF(E12&lt;F12,"REPONER","OK"))</f>
        <v/>
      </c>
    </row>
    <row r="13" customFormat="false" ht="15" hidden="false" customHeight="false" outlineLevel="0" collapsed="false">
      <c r="B13" s="31"/>
      <c r="C13" s="32"/>
      <c r="D13" s="32"/>
      <c r="E13" s="27"/>
      <c r="F13" s="27"/>
      <c r="G13" s="28"/>
      <c r="H13" s="30" t="str">
        <f aca="false">IF(OR(E13="",F13=""),"",IF(E13&lt;F13,(F13*2)-E13,0))</f>
        <v/>
      </c>
      <c r="I13" s="33" t="str">
        <f aca="false">IF(OR(E13="",F13=""),"",IF(E13&lt;F13,"REPONER","OK"))</f>
        <v/>
      </c>
    </row>
    <row r="14" customFormat="false" ht="15" hidden="false" customHeight="false" outlineLevel="0" collapsed="false">
      <c r="B14" s="31"/>
      <c r="C14" s="32"/>
      <c r="D14" s="32"/>
      <c r="E14" s="27"/>
      <c r="F14" s="27"/>
      <c r="G14" s="28"/>
      <c r="H14" s="30" t="str">
        <f aca="false">IF(OR(E14="",F14=""),"",IF(E14&lt;F14,(F14*2)-E14,0))</f>
        <v/>
      </c>
      <c r="I14" s="33" t="str">
        <f aca="false">IF(OR(E14="",F14=""),"",IF(E14&lt;F14,"REPONER","OK"))</f>
        <v/>
      </c>
    </row>
    <row r="15" customFormat="false" ht="15" hidden="false" customHeight="false" outlineLevel="0" collapsed="false">
      <c r="B15" s="31"/>
      <c r="C15" s="32"/>
      <c r="D15" s="32"/>
      <c r="E15" s="27"/>
      <c r="F15" s="27"/>
      <c r="G15" s="28"/>
      <c r="H15" s="30" t="str">
        <f aca="false">IF(OR(E15="",F15=""),"",IF(E15&lt;F15,(F15*2)-E15,0))</f>
        <v/>
      </c>
      <c r="I15" s="33" t="str">
        <f aca="false">IF(OR(E15="",F15=""),"",IF(E15&lt;F15,"REPONER","OK"))</f>
        <v/>
      </c>
    </row>
    <row r="16" customFormat="false" ht="15" hidden="false" customHeight="false" outlineLevel="0" collapsed="false">
      <c r="B16" s="31"/>
      <c r="C16" s="32"/>
      <c r="D16" s="32"/>
      <c r="E16" s="27"/>
      <c r="F16" s="27"/>
      <c r="G16" s="28"/>
      <c r="H16" s="30" t="str">
        <f aca="false">IF(OR(E16="",F16=""),"",IF(E16&lt;F16,(F16*2)-E16,0))</f>
        <v/>
      </c>
      <c r="I16" s="33" t="str">
        <f aca="false">IF(OR(E16="",F16=""),"",IF(E16&lt;F16,"REPONER","OK"))</f>
        <v/>
      </c>
    </row>
    <row r="17" customFormat="false" ht="15" hidden="false" customHeight="false" outlineLevel="0" collapsed="false">
      <c r="B17" s="31"/>
      <c r="C17" s="32"/>
      <c r="D17" s="32"/>
      <c r="E17" s="27"/>
      <c r="F17" s="27"/>
      <c r="G17" s="28"/>
      <c r="H17" s="30" t="str">
        <f aca="false">IF(OR(E17="",F17=""),"",IF(E17&lt;F17,(F17*2)-E17,0))</f>
        <v/>
      </c>
      <c r="I17" s="33" t="str">
        <f aca="false">IF(OR(E17="",F17=""),"",IF(E17&lt;F17,"REPONER","OK"))</f>
        <v/>
      </c>
    </row>
    <row r="18" customFormat="false" ht="15" hidden="false" customHeight="false" outlineLevel="0" collapsed="false">
      <c r="B18" s="31"/>
      <c r="C18" s="32"/>
      <c r="D18" s="32"/>
      <c r="E18" s="27"/>
      <c r="F18" s="27"/>
      <c r="G18" s="28"/>
      <c r="H18" s="30" t="str">
        <f aca="false">IF(OR(E18="",F18=""),"",IF(E18&lt;F18,(F18*2)-E18,0))</f>
        <v/>
      </c>
      <c r="I18" s="33" t="str">
        <f aca="false">IF(OR(E18="",F18=""),"",IF(E18&lt;F18,"REPONER","OK"))</f>
        <v/>
      </c>
    </row>
    <row r="19" customFormat="false" ht="15" hidden="false" customHeight="false" outlineLevel="0" collapsed="false">
      <c r="B19" s="31"/>
      <c r="C19" s="32"/>
      <c r="D19" s="32"/>
      <c r="E19" s="27"/>
      <c r="F19" s="27"/>
      <c r="G19" s="28"/>
      <c r="H19" s="30" t="str">
        <f aca="false">IF(OR(E19="",F19=""),"",IF(E19&lt;F19,(F19*2)-E19,0))</f>
        <v/>
      </c>
      <c r="I19" s="33" t="str">
        <f aca="false">IF(OR(E19="",F19=""),"",IF(E19&lt;F19,"REPONER","OK"))</f>
        <v/>
      </c>
    </row>
    <row r="20" customFormat="false" ht="15" hidden="false" customHeight="false" outlineLevel="0" collapsed="false">
      <c r="B20" s="31"/>
      <c r="C20" s="32"/>
      <c r="D20" s="32"/>
      <c r="E20" s="27"/>
      <c r="F20" s="27"/>
      <c r="G20" s="28"/>
      <c r="H20" s="30" t="str">
        <f aca="false">IF(OR(E20="",F20=""),"",IF(E20&lt;F20,(F20*2)-E20,0))</f>
        <v/>
      </c>
      <c r="I20" s="33" t="str">
        <f aca="false">IF(OR(E20="",F20=""),"",IF(E20&lt;F20,"REPONER","OK"))</f>
        <v/>
      </c>
    </row>
    <row r="21" customFormat="false" ht="15" hidden="false" customHeight="false" outlineLevel="0" collapsed="false">
      <c r="B21" s="31"/>
      <c r="C21" s="32"/>
      <c r="D21" s="32"/>
      <c r="E21" s="27"/>
      <c r="F21" s="27"/>
      <c r="G21" s="28"/>
      <c r="H21" s="30" t="str">
        <f aca="false">IF(OR(E21="",F21=""),"",IF(E21&lt;F21,(F21*2)-E21,0))</f>
        <v/>
      </c>
      <c r="I21" s="33" t="str">
        <f aca="false">IF(OR(E21="",F21=""),"",IF(E21&lt;F21,"REPONER","OK"))</f>
        <v/>
      </c>
    </row>
    <row r="22" customFormat="false" ht="15" hidden="false" customHeight="false" outlineLevel="0" collapsed="false">
      <c r="B22" s="31"/>
      <c r="C22" s="32"/>
      <c r="D22" s="32"/>
      <c r="E22" s="27"/>
      <c r="F22" s="27"/>
      <c r="G22" s="28"/>
      <c r="H22" s="30" t="str">
        <f aca="false">IF(OR(E22="",F22=""),"",IF(E22&lt;F22,(F22*2)-E22,0))</f>
        <v/>
      </c>
      <c r="I22" s="33" t="str">
        <f aca="false">IF(OR(E22="",F22=""),"",IF(E22&lt;F22,"REPONER","OK"))</f>
        <v/>
      </c>
    </row>
    <row r="23" customFormat="false" ht="15" hidden="false" customHeight="false" outlineLevel="0" collapsed="false">
      <c r="B23" s="31"/>
      <c r="C23" s="32"/>
      <c r="D23" s="32"/>
      <c r="E23" s="27"/>
      <c r="F23" s="27"/>
      <c r="G23" s="28"/>
      <c r="H23" s="30" t="str">
        <f aca="false">IF(OR(E23="",F23=""),"",IF(E23&lt;F23,(F23*2)-E23,0))</f>
        <v/>
      </c>
      <c r="I23" s="33" t="str">
        <f aca="false">IF(OR(E23="",F23=""),"",IF(E23&lt;F23,"REPONER","OK"))</f>
        <v/>
      </c>
    </row>
    <row r="24" customFormat="false" ht="15" hidden="false" customHeight="false" outlineLevel="0" collapsed="false">
      <c r="B24" s="31"/>
      <c r="C24" s="32"/>
      <c r="D24" s="32"/>
      <c r="E24" s="27"/>
      <c r="F24" s="27"/>
      <c r="G24" s="28"/>
      <c r="H24" s="30" t="str">
        <f aca="false">IF(OR(E24="",F24=""),"",IF(E24&lt;F24,(F24*2)-E24,0))</f>
        <v/>
      </c>
      <c r="I24" s="33" t="str">
        <f aca="false">IF(OR(E24="",F24=""),"",IF(E24&lt;F24,"REPONER","OK"))</f>
        <v/>
      </c>
    </row>
    <row r="25" customFormat="false" ht="15" hidden="false" customHeight="false" outlineLevel="0" collapsed="false">
      <c r="B25" s="31"/>
      <c r="C25" s="32"/>
      <c r="D25" s="32"/>
      <c r="E25" s="27"/>
      <c r="F25" s="27"/>
      <c r="G25" s="28"/>
      <c r="H25" s="30" t="str">
        <f aca="false">IF(OR(E25="",F25=""),"",IF(E25&lt;F25,(F25*2)-E25,0))</f>
        <v/>
      </c>
      <c r="I25" s="33" t="str">
        <f aca="false">IF(OR(E25="",F25=""),"",IF(E25&lt;F25,"REPONER","OK"))</f>
        <v/>
      </c>
    </row>
    <row r="26" customFormat="false" ht="15" hidden="false" customHeight="false" outlineLevel="0" collapsed="false">
      <c r="B26" s="31"/>
      <c r="C26" s="32"/>
      <c r="D26" s="32"/>
      <c r="E26" s="27"/>
      <c r="F26" s="27"/>
      <c r="G26" s="28"/>
      <c r="H26" s="30" t="str">
        <f aca="false">IF(OR(E26="",F26=""),"",IF(E26&lt;F26,(F26*2)-E26,0))</f>
        <v/>
      </c>
      <c r="I26" s="33" t="str">
        <f aca="false">IF(OR(E26="",F26=""),"",IF(E26&lt;F26,"REPONER","OK"))</f>
        <v/>
      </c>
    </row>
    <row r="27" customFormat="false" ht="15" hidden="false" customHeight="false" outlineLevel="0" collapsed="false">
      <c r="B27" s="31"/>
      <c r="C27" s="32"/>
      <c r="D27" s="32"/>
      <c r="E27" s="27"/>
      <c r="F27" s="27"/>
      <c r="G27" s="28"/>
      <c r="H27" s="30" t="str">
        <f aca="false">IF(OR(E27="",F27=""),"",IF(E27&lt;F27,(F27*2)-E27,0))</f>
        <v/>
      </c>
      <c r="I27" s="33" t="str">
        <f aca="false">IF(OR(E27="",F27=""),"",IF(E27&lt;F27,"REPONER","OK"))</f>
        <v/>
      </c>
    </row>
    <row r="28" customFormat="false" ht="15" hidden="false" customHeight="false" outlineLevel="0" collapsed="false">
      <c r="B28" s="31"/>
      <c r="C28" s="32"/>
      <c r="D28" s="32"/>
      <c r="E28" s="27"/>
      <c r="F28" s="27"/>
      <c r="G28" s="28"/>
      <c r="H28" s="30" t="str">
        <f aca="false">IF(OR(E28="",F28=""),"",IF(E28&lt;F28,(F28*2)-E28,0))</f>
        <v/>
      </c>
      <c r="I28" s="33" t="str">
        <f aca="false">IF(OR(E28="",F28=""),"",IF(E28&lt;F28,"REPONER","OK"))</f>
        <v/>
      </c>
    </row>
    <row r="29" customFormat="false" ht="15" hidden="false" customHeight="false" outlineLevel="0" collapsed="false">
      <c r="B29" s="31"/>
      <c r="C29" s="32"/>
      <c r="D29" s="32"/>
      <c r="E29" s="27"/>
      <c r="F29" s="27"/>
      <c r="G29" s="28"/>
      <c r="H29" s="30" t="str">
        <f aca="false">IF(OR(E29="",F29=""),"",IF(E29&lt;F29,(F29*2)-E29,0))</f>
        <v/>
      </c>
      <c r="I29" s="33" t="str">
        <f aca="false">IF(OR(E29="",F29=""),"",IF(E29&lt;F29,"REPONER","OK"))</f>
        <v/>
      </c>
    </row>
    <row r="30" customFormat="false" ht="15" hidden="false" customHeight="false" outlineLevel="0" collapsed="false">
      <c r="B30" s="31"/>
      <c r="C30" s="32"/>
      <c r="D30" s="32"/>
      <c r="E30" s="27"/>
      <c r="F30" s="27"/>
      <c r="G30" s="28"/>
      <c r="H30" s="30" t="str">
        <f aca="false">IF(OR(E30="",F30=""),"",IF(E30&lt;F30,(F30*2)-E30,0))</f>
        <v/>
      </c>
      <c r="I30" s="33" t="str">
        <f aca="false">IF(OR(E30="",F30=""),"",IF(E30&lt;F30,"REPONER","OK"))</f>
        <v/>
      </c>
    </row>
    <row r="31" customFormat="false" ht="15" hidden="false" customHeight="false" outlineLevel="0" collapsed="false">
      <c r="B31" s="31"/>
      <c r="C31" s="32"/>
      <c r="D31" s="32"/>
      <c r="E31" s="27"/>
      <c r="F31" s="27"/>
      <c r="G31" s="28"/>
      <c r="H31" s="30" t="str">
        <f aca="false">IF(OR(E31="",F31=""),"",IF(E31&lt;F31,(F31*2)-E31,0))</f>
        <v/>
      </c>
      <c r="I31" s="33" t="str">
        <f aca="false">IF(OR(E31="",F31=""),"",IF(E31&lt;F31,"REPONER","OK"))</f>
        <v/>
      </c>
    </row>
    <row r="32" customFormat="false" ht="15" hidden="false" customHeight="false" outlineLevel="0" collapsed="false">
      <c r="B32" s="31"/>
      <c r="C32" s="32"/>
      <c r="D32" s="32"/>
      <c r="E32" s="27"/>
      <c r="F32" s="27"/>
      <c r="G32" s="28"/>
      <c r="H32" s="30" t="str">
        <f aca="false">IF(OR(E32="",F32=""),"",IF(E32&lt;F32,(F32*2)-E32,0))</f>
        <v/>
      </c>
      <c r="I32" s="33" t="str">
        <f aca="false">IF(OR(E32="",F32=""),"",IF(E32&lt;F32,"REPONER","OK"))</f>
        <v/>
      </c>
    </row>
    <row r="33" customFormat="false" ht="15" hidden="false" customHeight="false" outlineLevel="0" collapsed="false">
      <c r="B33" s="31"/>
      <c r="C33" s="32"/>
      <c r="D33" s="32"/>
      <c r="E33" s="27"/>
      <c r="F33" s="27"/>
      <c r="G33" s="28"/>
      <c r="H33" s="30" t="str">
        <f aca="false">IF(OR(E33="",F33=""),"",IF(E33&lt;F33,(F33*2)-E33,0))</f>
        <v/>
      </c>
      <c r="I33" s="33" t="str">
        <f aca="false">IF(OR(E33="",F33=""),"",IF(E33&lt;F33,"REPONER","OK"))</f>
        <v/>
      </c>
    </row>
    <row r="34" customFormat="false" ht="15" hidden="false" customHeight="false" outlineLevel="0" collapsed="false">
      <c r="B34" s="31"/>
      <c r="C34" s="32"/>
      <c r="D34" s="32"/>
      <c r="E34" s="27"/>
      <c r="F34" s="27"/>
      <c r="G34" s="28"/>
      <c r="H34" s="30" t="str">
        <f aca="false">IF(OR(E34="",F34=""),"",IF(E34&lt;F34,(F34*2)-E34,0))</f>
        <v/>
      </c>
      <c r="I34" s="33" t="str">
        <f aca="false">IF(OR(E34="",F34=""),"",IF(E34&lt;F34,"REPONER","OK"))</f>
        <v/>
      </c>
    </row>
    <row r="35" customFormat="false" ht="15" hidden="false" customHeight="false" outlineLevel="0" collapsed="false">
      <c r="B35" s="31"/>
      <c r="C35" s="32"/>
      <c r="D35" s="32"/>
      <c r="E35" s="27"/>
      <c r="F35" s="27"/>
      <c r="G35" s="28"/>
      <c r="H35" s="30" t="str">
        <f aca="false">IF(OR(E35="",F35=""),"",IF(E35&lt;F35,(F35*2)-E35,0))</f>
        <v/>
      </c>
      <c r="I35" s="33" t="str">
        <f aca="false">IF(OR(E35="",F35=""),"",IF(E35&lt;F35,"REPONER","OK"))</f>
        <v/>
      </c>
    </row>
    <row r="36" customFormat="false" ht="15" hidden="false" customHeight="false" outlineLevel="0" collapsed="false">
      <c r="B36" s="31"/>
      <c r="C36" s="32"/>
      <c r="D36" s="32"/>
      <c r="E36" s="27"/>
      <c r="F36" s="27"/>
      <c r="G36" s="28"/>
      <c r="H36" s="30" t="str">
        <f aca="false">IF(OR(E36="",F36=""),"",IF(E36&lt;F36,(F36*2)-E36,0))</f>
        <v/>
      </c>
      <c r="I36" s="33" t="str">
        <f aca="false">IF(OR(E36="",F36=""),"",IF(E36&lt;F36,"REPONER","OK"))</f>
        <v/>
      </c>
    </row>
    <row r="37" customFormat="false" ht="15" hidden="false" customHeight="false" outlineLevel="0" collapsed="false">
      <c r="B37" s="31"/>
      <c r="C37" s="32"/>
      <c r="D37" s="32"/>
      <c r="E37" s="27"/>
      <c r="F37" s="27"/>
      <c r="G37" s="28"/>
      <c r="H37" s="30" t="str">
        <f aca="false">IF(OR(E37="",F37=""),"",IF(E37&lt;F37,(F37*2)-E37,0))</f>
        <v/>
      </c>
      <c r="I37" s="33" t="str">
        <f aca="false">IF(OR(E37="",F37=""),"",IF(E37&lt;F37,"REPONER","OK"))</f>
        <v/>
      </c>
    </row>
    <row r="38" customFormat="false" ht="15" hidden="false" customHeight="false" outlineLevel="0" collapsed="false">
      <c r="B38" s="31"/>
      <c r="C38" s="32"/>
      <c r="D38" s="32"/>
      <c r="E38" s="27"/>
      <c r="F38" s="27"/>
      <c r="G38" s="28"/>
      <c r="H38" s="30" t="str">
        <f aca="false">IF(OR(E38="",F38=""),"",IF(E38&lt;F38,(F38*2)-E38,0))</f>
        <v/>
      </c>
      <c r="I38" s="33" t="str">
        <f aca="false">IF(OR(E38="",F38=""),"",IF(E38&lt;F38,"REPONER","OK"))</f>
        <v/>
      </c>
    </row>
    <row r="39" customFormat="false" ht="15" hidden="false" customHeight="false" outlineLevel="0" collapsed="false">
      <c r="B39" s="31"/>
      <c r="C39" s="32"/>
      <c r="D39" s="32"/>
      <c r="E39" s="27"/>
      <c r="F39" s="27"/>
      <c r="G39" s="28"/>
      <c r="H39" s="30" t="str">
        <f aca="false">IF(OR(E39="",F39=""),"",IF(E39&lt;F39,(F39*2)-E39,0))</f>
        <v/>
      </c>
      <c r="I39" s="33" t="str">
        <f aca="false">IF(OR(E39="",F39=""),"",IF(E39&lt;F39,"REPONER","OK"))</f>
        <v/>
      </c>
    </row>
    <row r="40" customFormat="false" ht="15" hidden="false" customHeight="false" outlineLevel="0" collapsed="false">
      <c r="B40" s="31"/>
      <c r="C40" s="32"/>
      <c r="D40" s="32"/>
      <c r="E40" s="27"/>
      <c r="F40" s="27"/>
      <c r="G40" s="28"/>
      <c r="H40" s="30" t="str">
        <f aca="false">IF(OR(E40="",F40=""),"",IF(E40&lt;F40,(F40*2)-E40,0))</f>
        <v/>
      </c>
      <c r="I40" s="33" t="str">
        <f aca="false">IF(OR(E40="",F40=""),"",IF(E40&lt;F40,"REPONER","OK"))</f>
        <v/>
      </c>
    </row>
    <row r="41" customFormat="false" ht="15" hidden="false" customHeight="false" outlineLevel="0" collapsed="false">
      <c r="B41" s="31"/>
      <c r="C41" s="32"/>
      <c r="D41" s="32"/>
      <c r="E41" s="27"/>
      <c r="F41" s="27"/>
      <c r="G41" s="28"/>
      <c r="H41" s="30" t="str">
        <f aca="false">IF(OR(E41="",F41=""),"",IF(E41&lt;F41,(F41*2)-E41,0))</f>
        <v/>
      </c>
      <c r="I41" s="33" t="str">
        <f aca="false">IF(OR(E41="",F41=""),"",IF(E41&lt;F41,"REPONER","OK"))</f>
        <v/>
      </c>
    </row>
    <row r="42" customFormat="false" ht="15" hidden="false" customHeight="false" outlineLevel="0" collapsed="false">
      <c r="B42" s="31"/>
      <c r="C42" s="32"/>
      <c r="D42" s="32"/>
      <c r="E42" s="27"/>
      <c r="F42" s="27"/>
      <c r="G42" s="28"/>
      <c r="H42" s="30" t="str">
        <f aca="false">IF(OR(E42="",F42=""),"",IF(E42&lt;F42,(F42*2)-E42,0))</f>
        <v/>
      </c>
      <c r="I42" s="33" t="str">
        <f aca="false">IF(OR(E42="",F42=""),"",IF(E42&lt;F42,"REPONER","OK"))</f>
        <v/>
      </c>
    </row>
    <row r="43" customFormat="false" ht="15" hidden="false" customHeight="false" outlineLevel="0" collapsed="false">
      <c r="B43" s="31"/>
      <c r="C43" s="32"/>
      <c r="D43" s="32"/>
      <c r="E43" s="27"/>
      <c r="F43" s="27"/>
      <c r="G43" s="28"/>
      <c r="H43" s="30" t="str">
        <f aca="false">IF(OR(E43="",F43=""),"",IF(E43&lt;F43,(F43*2)-E43,0))</f>
        <v/>
      </c>
      <c r="I43" s="33" t="str">
        <f aca="false">IF(OR(E43="",F43=""),"",IF(E43&lt;F43,"REPONER","OK"))</f>
        <v/>
      </c>
    </row>
    <row r="44" customFormat="false" ht="15" hidden="false" customHeight="false" outlineLevel="0" collapsed="false">
      <c r="B44" s="31"/>
      <c r="C44" s="32"/>
      <c r="D44" s="32"/>
      <c r="E44" s="27"/>
      <c r="F44" s="27"/>
      <c r="G44" s="28"/>
      <c r="H44" s="30" t="str">
        <f aca="false">IF(OR(E44="",F44=""),"",IF(E44&lt;F44,(F44*2)-E44,0))</f>
        <v/>
      </c>
      <c r="I44" s="33" t="str">
        <f aca="false">IF(OR(E44="",F44=""),"",IF(E44&lt;F44,"REPONER","OK"))</f>
        <v/>
      </c>
    </row>
    <row r="45" customFormat="false" ht="15" hidden="false" customHeight="false" outlineLevel="0" collapsed="false">
      <c r="B45" s="31"/>
      <c r="C45" s="32"/>
      <c r="D45" s="32"/>
      <c r="E45" s="27"/>
      <c r="F45" s="27"/>
      <c r="G45" s="28"/>
      <c r="H45" s="30" t="str">
        <f aca="false">IF(OR(E45="",F45=""),"",IF(E45&lt;F45,(F45*2)-E45,0))</f>
        <v/>
      </c>
      <c r="I45" s="33" t="str">
        <f aca="false">IF(OR(E45="",F45=""),"",IF(E45&lt;F45,"REPONER","OK"))</f>
        <v/>
      </c>
    </row>
    <row r="46" customFormat="false" ht="15" hidden="false" customHeight="false" outlineLevel="0" collapsed="false">
      <c r="B46" s="31"/>
      <c r="C46" s="32"/>
      <c r="D46" s="32"/>
      <c r="E46" s="27"/>
      <c r="F46" s="27"/>
      <c r="G46" s="28"/>
      <c r="H46" s="30" t="str">
        <f aca="false">IF(OR(E46="",F46=""),"",IF(E46&lt;F46,(F46*2)-E46,0))</f>
        <v/>
      </c>
      <c r="I46" s="33" t="str">
        <f aca="false">IF(OR(E46="",F46=""),"",IF(E46&lt;F46,"REPONER","OK"))</f>
        <v/>
      </c>
    </row>
    <row r="48" customFormat="false" ht="15" hidden="false" customHeight="false" outlineLevel="0" collapsed="false">
      <c r="B48" s="6" t="s">
        <v>50</v>
      </c>
    </row>
    <row r="49" customFormat="false" ht="15" hidden="false" customHeight="false" outlineLevel="0" collapsed="false">
      <c r="B49" s="7" t="s">
        <v>91</v>
      </c>
      <c r="C49" s="7"/>
      <c r="D49" s="7"/>
      <c r="E49" s="7"/>
      <c r="F49" s="7"/>
      <c r="G49" s="7"/>
      <c r="H49" s="7"/>
      <c r="I49" s="7"/>
    </row>
    <row r="50" customFormat="false" ht="15" hidden="false" customHeight="false" outlineLevel="0" collapsed="false">
      <c r="B50" s="7" t="s">
        <v>92</v>
      </c>
      <c r="C50" s="7"/>
      <c r="D50" s="7"/>
      <c r="E50" s="7"/>
      <c r="F50" s="7"/>
      <c r="G50" s="7"/>
      <c r="H50" s="7"/>
      <c r="I50" s="7"/>
    </row>
  </sheetData>
  <autoFilter ref="B6:I46"/>
  <mergeCells count="4">
    <mergeCell ref="B2:I2"/>
    <mergeCell ref="B3:I3"/>
    <mergeCell ref="B49:I49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5"/>
  </cols>
  <sheetData>
    <row r="2" customFormat="false" ht="31.5" hidden="false" customHeight="true" outlineLevel="0" collapsed="false">
      <c r="B2" s="8" t="s">
        <v>93</v>
      </c>
      <c r="C2" s="8"/>
      <c r="D2" s="8"/>
      <c r="E2" s="8"/>
      <c r="F2" s="8"/>
      <c r="G2" s="8"/>
    </row>
    <row r="3" customFormat="false" ht="15" hidden="false" customHeight="false" outlineLevel="0" collapsed="false">
      <c r="B3" s="2" t="s">
        <v>94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6" t="s">
        <v>95</v>
      </c>
      <c r="C5" s="9"/>
      <c r="E5" s="6" t="s">
        <v>96</v>
      </c>
      <c r="F5" s="10"/>
    </row>
    <row r="7" customFormat="false" ht="15" hidden="false" customHeight="false" outlineLevel="0" collapsed="false">
      <c r="B7" s="3" t="s">
        <v>97</v>
      </c>
      <c r="C7" s="3"/>
      <c r="D7" s="3"/>
      <c r="E7" s="3"/>
      <c r="F7" s="3"/>
      <c r="G7" s="3"/>
    </row>
    <row r="8" customFormat="false" ht="30" hidden="false" customHeight="true" outlineLevel="0" collapsed="false">
      <c r="B8" s="11" t="s">
        <v>72</v>
      </c>
      <c r="C8" s="11" t="s">
        <v>87</v>
      </c>
      <c r="D8" s="11" t="s">
        <v>88</v>
      </c>
      <c r="E8" s="11" t="s">
        <v>98</v>
      </c>
      <c r="F8" s="11" t="s">
        <v>89</v>
      </c>
      <c r="G8" s="11" t="s">
        <v>99</v>
      </c>
    </row>
    <row r="9" customFormat="false" ht="15" hidden="false" customHeight="false" outlineLevel="0" collapsed="false">
      <c r="B9" s="33" t="str">
        <f aca="false">IF('Inventario y Almacén'!I7="REPONER",'Inventario y Almacén'!B7,"")</f>
        <v/>
      </c>
      <c r="C9" s="34" t="str">
        <f aca="false">IF('Inventario y Almacén'!I7="REPONER",'Inventario y Almacén'!C7,"")</f>
        <v/>
      </c>
      <c r="D9" s="33" t="str">
        <f aca="false">IF('Inventario y Almacén'!I7="REPONER",'Inventario y Almacén'!D7,"")</f>
        <v/>
      </c>
      <c r="E9" s="35" t="str">
        <f aca="false">IF('Inventario y Almacén'!I7="REPONER",'Inventario y Almacén'!H7,"")</f>
        <v/>
      </c>
      <c r="F9" s="29" t="str">
        <f aca="false">IF('Inventario y Almacén'!I7="REPONER",'Inventario y Almacén'!G7,"")</f>
        <v/>
      </c>
      <c r="G9" s="29" t="str">
        <f aca="false">IF(OR(E9="",F9=""),"",E9*F9)</f>
        <v/>
      </c>
    </row>
    <row r="10" customFormat="false" ht="15" hidden="false" customHeight="false" outlineLevel="0" collapsed="false">
      <c r="B10" s="33" t="str">
        <f aca="false">IF('Inventario y Almacén'!I8="REPONER",'Inventario y Almacén'!B8,"")</f>
        <v/>
      </c>
      <c r="C10" s="34" t="str">
        <f aca="false">IF('Inventario y Almacén'!I8="REPONER",'Inventario y Almacén'!C8,"")</f>
        <v/>
      </c>
      <c r="D10" s="33" t="str">
        <f aca="false">IF('Inventario y Almacén'!I8="REPONER",'Inventario y Almacén'!D8,"")</f>
        <v/>
      </c>
      <c r="E10" s="35" t="str">
        <f aca="false">IF('Inventario y Almacén'!I8="REPONER",'Inventario y Almacén'!H8,"")</f>
        <v/>
      </c>
      <c r="F10" s="29" t="str">
        <f aca="false">IF('Inventario y Almacén'!I8="REPONER",'Inventario y Almacén'!G8,"")</f>
        <v/>
      </c>
      <c r="G10" s="29" t="str">
        <f aca="false">IF(OR(E10="",F10=""),"",E10*F10)</f>
        <v/>
      </c>
    </row>
    <row r="11" customFormat="false" ht="15" hidden="false" customHeight="false" outlineLevel="0" collapsed="false">
      <c r="B11" s="33" t="str">
        <f aca="false">IF('Inventario y Almacén'!I9="REPONER",'Inventario y Almacén'!B9,"")</f>
        <v/>
      </c>
      <c r="C11" s="34" t="str">
        <f aca="false">IF('Inventario y Almacén'!I9="REPONER",'Inventario y Almacén'!C9,"")</f>
        <v/>
      </c>
      <c r="D11" s="33" t="str">
        <f aca="false">IF('Inventario y Almacén'!I9="REPONER",'Inventario y Almacén'!D9,"")</f>
        <v/>
      </c>
      <c r="E11" s="35" t="str">
        <f aca="false">IF('Inventario y Almacén'!I9="REPONER",'Inventario y Almacén'!H9,"")</f>
        <v/>
      </c>
      <c r="F11" s="29" t="str">
        <f aca="false">IF('Inventario y Almacén'!I9="REPONER",'Inventario y Almacén'!G9,"")</f>
        <v/>
      </c>
      <c r="G11" s="29" t="str">
        <f aca="false">IF(OR(E11="",F11=""),"",E11*F11)</f>
        <v/>
      </c>
    </row>
    <row r="12" customFormat="false" ht="15" hidden="false" customHeight="false" outlineLevel="0" collapsed="false">
      <c r="B12" s="33" t="str">
        <f aca="false">IF('Inventario y Almacén'!I10="REPONER",'Inventario y Almacén'!B10,"")</f>
        <v/>
      </c>
      <c r="C12" s="34" t="str">
        <f aca="false">IF('Inventario y Almacén'!I10="REPONER",'Inventario y Almacén'!C10,"")</f>
        <v/>
      </c>
      <c r="D12" s="33" t="str">
        <f aca="false">IF('Inventario y Almacén'!I10="REPONER",'Inventario y Almacén'!D10,"")</f>
        <v/>
      </c>
      <c r="E12" s="35" t="str">
        <f aca="false">IF('Inventario y Almacén'!I10="REPONER",'Inventario y Almacén'!H10,"")</f>
        <v/>
      </c>
      <c r="F12" s="29" t="str">
        <f aca="false">IF('Inventario y Almacén'!I10="REPONER",'Inventario y Almacén'!G10,"")</f>
        <v/>
      </c>
      <c r="G12" s="29" t="str">
        <f aca="false">IF(OR(E12="",F12=""),"",E12*F12)</f>
        <v/>
      </c>
    </row>
    <row r="13" customFormat="false" ht="15" hidden="false" customHeight="false" outlineLevel="0" collapsed="false">
      <c r="B13" s="33" t="str">
        <f aca="false">IF('Inventario y Almacén'!I11="REPONER",'Inventario y Almacén'!B11,"")</f>
        <v/>
      </c>
      <c r="C13" s="34" t="str">
        <f aca="false">IF('Inventario y Almacén'!I11="REPONER",'Inventario y Almacén'!C11,"")</f>
        <v/>
      </c>
      <c r="D13" s="33" t="str">
        <f aca="false">IF('Inventario y Almacén'!I11="REPONER",'Inventario y Almacén'!D11,"")</f>
        <v/>
      </c>
      <c r="E13" s="35" t="str">
        <f aca="false">IF('Inventario y Almacén'!I11="REPONER",'Inventario y Almacén'!H11,"")</f>
        <v/>
      </c>
      <c r="F13" s="29" t="str">
        <f aca="false">IF('Inventario y Almacén'!I11="REPONER",'Inventario y Almacén'!G11,"")</f>
        <v/>
      </c>
      <c r="G13" s="29" t="str">
        <f aca="false">IF(OR(E13="",F13=""),"",E13*F13)</f>
        <v/>
      </c>
    </row>
    <row r="14" customFormat="false" ht="15" hidden="false" customHeight="false" outlineLevel="0" collapsed="false">
      <c r="B14" s="33" t="str">
        <f aca="false">IF('Inventario y Almacén'!I12="REPONER",'Inventario y Almacén'!B12,"")</f>
        <v/>
      </c>
      <c r="C14" s="34" t="str">
        <f aca="false">IF('Inventario y Almacén'!I12="REPONER",'Inventario y Almacén'!C12,"")</f>
        <v/>
      </c>
      <c r="D14" s="33" t="str">
        <f aca="false">IF('Inventario y Almacén'!I12="REPONER",'Inventario y Almacén'!D12,"")</f>
        <v/>
      </c>
      <c r="E14" s="35" t="str">
        <f aca="false">IF('Inventario y Almacén'!I12="REPONER",'Inventario y Almacén'!H12,"")</f>
        <v/>
      </c>
      <c r="F14" s="29" t="str">
        <f aca="false">IF('Inventario y Almacén'!I12="REPONER",'Inventario y Almacén'!G12,"")</f>
        <v/>
      </c>
      <c r="G14" s="29" t="str">
        <f aca="false">IF(OR(E14="",F14=""),"",E14*F14)</f>
        <v/>
      </c>
    </row>
    <row r="15" customFormat="false" ht="15" hidden="false" customHeight="false" outlineLevel="0" collapsed="false">
      <c r="B15" s="33" t="str">
        <f aca="false">IF('Inventario y Almacén'!I13="REPONER",'Inventario y Almacén'!B13,"")</f>
        <v/>
      </c>
      <c r="C15" s="34" t="str">
        <f aca="false">IF('Inventario y Almacén'!I13="REPONER",'Inventario y Almacén'!C13,"")</f>
        <v/>
      </c>
      <c r="D15" s="33" t="str">
        <f aca="false">IF('Inventario y Almacén'!I13="REPONER",'Inventario y Almacén'!D13,"")</f>
        <v/>
      </c>
      <c r="E15" s="35" t="str">
        <f aca="false">IF('Inventario y Almacén'!I13="REPONER",'Inventario y Almacén'!H13,"")</f>
        <v/>
      </c>
      <c r="F15" s="29" t="str">
        <f aca="false">IF('Inventario y Almacén'!I13="REPONER",'Inventario y Almacén'!G13,"")</f>
        <v/>
      </c>
      <c r="G15" s="29" t="str">
        <f aca="false">IF(OR(E15="",F15=""),"",E15*F15)</f>
        <v/>
      </c>
    </row>
    <row r="16" customFormat="false" ht="15" hidden="false" customHeight="false" outlineLevel="0" collapsed="false">
      <c r="B16" s="33" t="str">
        <f aca="false">IF('Inventario y Almacén'!I14="REPONER",'Inventario y Almacén'!B14,"")</f>
        <v/>
      </c>
      <c r="C16" s="34" t="str">
        <f aca="false">IF('Inventario y Almacén'!I14="REPONER",'Inventario y Almacén'!C14,"")</f>
        <v/>
      </c>
      <c r="D16" s="33" t="str">
        <f aca="false">IF('Inventario y Almacén'!I14="REPONER",'Inventario y Almacén'!D14,"")</f>
        <v/>
      </c>
      <c r="E16" s="35" t="str">
        <f aca="false">IF('Inventario y Almacén'!I14="REPONER",'Inventario y Almacén'!H14,"")</f>
        <v/>
      </c>
      <c r="F16" s="29" t="str">
        <f aca="false">IF('Inventario y Almacén'!I14="REPONER",'Inventario y Almacén'!G14,"")</f>
        <v/>
      </c>
      <c r="G16" s="29" t="str">
        <f aca="false">IF(OR(E16="",F16=""),"",E16*F16)</f>
        <v/>
      </c>
    </row>
    <row r="17" customFormat="false" ht="15" hidden="false" customHeight="false" outlineLevel="0" collapsed="false">
      <c r="B17" s="33" t="str">
        <f aca="false">IF('Inventario y Almacén'!I15="REPONER",'Inventario y Almacén'!B15,"")</f>
        <v/>
      </c>
      <c r="C17" s="34" t="str">
        <f aca="false">IF('Inventario y Almacén'!I15="REPONER",'Inventario y Almacén'!C15,"")</f>
        <v/>
      </c>
      <c r="D17" s="33" t="str">
        <f aca="false">IF('Inventario y Almacén'!I15="REPONER",'Inventario y Almacén'!D15,"")</f>
        <v/>
      </c>
      <c r="E17" s="35" t="str">
        <f aca="false">IF('Inventario y Almacén'!I15="REPONER",'Inventario y Almacén'!H15,"")</f>
        <v/>
      </c>
      <c r="F17" s="29" t="str">
        <f aca="false">IF('Inventario y Almacén'!I15="REPONER",'Inventario y Almacén'!G15,"")</f>
        <v/>
      </c>
      <c r="G17" s="29" t="str">
        <f aca="false">IF(OR(E17="",F17=""),"",E17*F17)</f>
        <v/>
      </c>
    </row>
    <row r="18" customFormat="false" ht="15" hidden="false" customHeight="false" outlineLevel="0" collapsed="false">
      <c r="B18" s="33" t="str">
        <f aca="false">IF('Inventario y Almacén'!I16="REPONER",'Inventario y Almacén'!B16,"")</f>
        <v/>
      </c>
      <c r="C18" s="34" t="str">
        <f aca="false">IF('Inventario y Almacén'!I16="REPONER",'Inventario y Almacén'!C16,"")</f>
        <v/>
      </c>
      <c r="D18" s="33" t="str">
        <f aca="false">IF('Inventario y Almacén'!I16="REPONER",'Inventario y Almacén'!D16,"")</f>
        <v/>
      </c>
      <c r="E18" s="35" t="str">
        <f aca="false">IF('Inventario y Almacén'!I16="REPONER",'Inventario y Almacén'!H16,"")</f>
        <v/>
      </c>
      <c r="F18" s="29" t="str">
        <f aca="false">IF('Inventario y Almacén'!I16="REPONER",'Inventario y Almacén'!G16,"")</f>
        <v/>
      </c>
      <c r="G18" s="29" t="str">
        <f aca="false">IF(OR(E18="",F18=""),"",E18*F18)</f>
        <v/>
      </c>
    </row>
    <row r="19" customFormat="false" ht="15" hidden="false" customHeight="false" outlineLevel="0" collapsed="false">
      <c r="B19" s="33" t="str">
        <f aca="false">IF('Inventario y Almacén'!I17="REPONER",'Inventario y Almacén'!B17,"")</f>
        <v/>
      </c>
      <c r="C19" s="34" t="str">
        <f aca="false">IF('Inventario y Almacén'!I17="REPONER",'Inventario y Almacén'!C17,"")</f>
        <v/>
      </c>
      <c r="D19" s="33" t="str">
        <f aca="false">IF('Inventario y Almacén'!I17="REPONER",'Inventario y Almacén'!D17,"")</f>
        <v/>
      </c>
      <c r="E19" s="35" t="str">
        <f aca="false">IF('Inventario y Almacén'!I17="REPONER",'Inventario y Almacén'!H17,"")</f>
        <v/>
      </c>
      <c r="F19" s="29" t="str">
        <f aca="false">IF('Inventario y Almacén'!I17="REPONER",'Inventario y Almacén'!G17,"")</f>
        <v/>
      </c>
      <c r="G19" s="29" t="str">
        <f aca="false">IF(OR(E19="",F19=""),"",E19*F19)</f>
        <v/>
      </c>
    </row>
    <row r="20" customFormat="false" ht="15" hidden="false" customHeight="false" outlineLevel="0" collapsed="false">
      <c r="B20" s="33" t="str">
        <f aca="false">IF('Inventario y Almacén'!I18="REPONER",'Inventario y Almacén'!B18,"")</f>
        <v/>
      </c>
      <c r="C20" s="34" t="str">
        <f aca="false">IF('Inventario y Almacén'!I18="REPONER",'Inventario y Almacén'!C18,"")</f>
        <v/>
      </c>
      <c r="D20" s="33" t="str">
        <f aca="false">IF('Inventario y Almacén'!I18="REPONER",'Inventario y Almacén'!D18,"")</f>
        <v/>
      </c>
      <c r="E20" s="35" t="str">
        <f aca="false">IF('Inventario y Almacén'!I18="REPONER",'Inventario y Almacén'!H18,"")</f>
        <v/>
      </c>
      <c r="F20" s="29" t="str">
        <f aca="false">IF('Inventario y Almacén'!I18="REPONER",'Inventario y Almacén'!G18,"")</f>
        <v/>
      </c>
      <c r="G20" s="29" t="str">
        <f aca="false">IF(OR(E20="",F20=""),"",E20*F20)</f>
        <v/>
      </c>
    </row>
    <row r="21" customFormat="false" ht="15" hidden="false" customHeight="false" outlineLevel="0" collapsed="false">
      <c r="B21" s="33" t="str">
        <f aca="false">IF('Inventario y Almacén'!I19="REPONER",'Inventario y Almacén'!B19,"")</f>
        <v/>
      </c>
      <c r="C21" s="34" t="str">
        <f aca="false">IF('Inventario y Almacén'!I19="REPONER",'Inventario y Almacén'!C19,"")</f>
        <v/>
      </c>
      <c r="D21" s="33" t="str">
        <f aca="false">IF('Inventario y Almacén'!I19="REPONER",'Inventario y Almacén'!D19,"")</f>
        <v/>
      </c>
      <c r="E21" s="35" t="str">
        <f aca="false">IF('Inventario y Almacén'!I19="REPONER",'Inventario y Almacén'!H19,"")</f>
        <v/>
      </c>
      <c r="F21" s="29" t="str">
        <f aca="false">IF('Inventario y Almacén'!I19="REPONER",'Inventario y Almacén'!G19,"")</f>
        <v/>
      </c>
      <c r="G21" s="29" t="str">
        <f aca="false">IF(OR(E21="",F21=""),"",E21*F21)</f>
        <v/>
      </c>
    </row>
    <row r="22" customFormat="false" ht="15" hidden="false" customHeight="false" outlineLevel="0" collapsed="false">
      <c r="B22" s="33" t="str">
        <f aca="false">IF('Inventario y Almacén'!I20="REPONER",'Inventario y Almacén'!B20,"")</f>
        <v/>
      </c>
      <c r="C22" s="34" t="str">
        <f aca="false">IF('Inventario y Almacén'!I20="REPONER",'Inventario y Almacén'!C20,"")</f>
        <v/>
      </c>
      <c r="D22" s="33" t="str">
        <f aca="false">IF('Inventario y Almacén'!I20="REPONER",'Inventario y Almacén'!D20,"")</f>
        <v/>
      </c>
      <c r="E22" s="35" t="str">
        <f aca="false">IF('Inventario y Almacén'!I20="REPONER",'Inventario y Almacén'!H20,"")</f>
        <v/>
      </c>
      <c r="F22" s="29" t="str">
        <f aca="false">IF('Inventario y Almacén'!I20="REPONER",'Inventario y Almacén'!G20,"")</f>
        <v/>
      </c>
      <c r="G22" s="29" t="str">
        <f aca="false">IF(OR(E22="",F22=""),"",E22*F22)</f>
        <v/>
      </c>
    </row>
    <row r="23" customFormat="false" ht="15" hidden="false" customHeight="false" outlineLevel="0" collapsed="false">
      <c r="B23" s="33" t="str">
        <f aca="false">IF('Inventario y Almacén'!I21="REPONER",'Inventario y Almacén'!B21,"")</f>
        <v/>
      </c>
      <c r="C23" s="34" t="str">
        <f aca="false">IF('Inventario y Almacén'!I21="REPONER",'Inventario y Almacén'!C21,"")</f>
        <v/>
      </c>
      <c r="D23" s="33" t="str">
        <f aca="false">IF('Inventario y Almacén'!I21="REPONER",'Inventario y Almacén'!D21,"")</f>
        <v/>
      </c>
      <c r="E23" s="35" t="str">
        <f aca="false">IF('Inventario y Almacén'!I21="REPONER",'Inventario y Almacén'!H21,"")</f>
        <v/>
      </c>
      <c r="F23" s="29" t="str">
        <f aca="false">IF('Inventario y Almacén'!I21="REPONER",'Inventario y Almacén'!G21,"")</f>
        <v/>
      </c>
      <c r="G23" s="29" t="str">
        <f aca="false">IF(OR(E23="",F23=""),"",E23*F23)</f>
        <v/>
      </c>
    </row>
    <row r="24" customFormat="false" ht="15" hidden="false" customHeight="false" outlineLevel="0" collapsed="false">
      <c r="B24" s="33" t="str">
        <f aca="false">IF('Inventario y Almacén'!I22="REPONER",'Inventario y Almacén'!B22,"")</f>
        <v/>
      </c>
      <c r="C24" s="34" t="str">
        <f aca="false">IF('Inventario y Almacén'!I22="REPONER",'Inventario y Almacén'!C22,"")</f>
        <v/>
      </c>
      <c r="D24" s="33" t="str">
        <f aca="false">IF('Inventario y Almacén'!I22="REPONER",'Inventario y Almacén'!D22,"")</f>
        <v/>
      </c>
      <c r="E24" s="35" t="str">
        <f aca="false">IF('Inventario y Almacén'!I22="REPONER",'Inventario y Almacén'!H22,"")</f>
        <v/>
      </c>
      <c r="F24" s="29" t="str">
        <f aca="false">IF('Inventario y Almacén'!I22="REPONER",'Inventario y Almacén'!G22,"")</f>
        <v/>
      </c>
      <c r="G24" s="29" t="str">
        <f aca="false">IF(OR(E24="",F24=""),"",E24*F24)</f>
        <v/>
      </c>
    </row>
    <row r="25" customFormat="false" ht="15" hidden="false" customHeight="false" outlineLevel="0" collapsed="false">
      <c r="B25" s="33" t="str">
        <f aca="false">IF('Inventario y Almacén'!I23="REPONER",'Inventario y Almacén'!B23,"")</f>
        <v/>
      </c>
      <c r="C25" s="34" t="str">
        <f aca="false">IF('Inventario y Almacén'!I23="REPONER",'Inventario y Almacén'!C23,"")</f>
        <v/>
      </c>
      <c r="D25" s="33" t="str">
        <f aca="false">IF('Inventario y Almacén'!I23="REPONER",'Inventario y Almacén'!D23,"")</f>
        <v/>
      </c>
      <c r="E25" s="35" t="str">
        <f aca="false">IF('Inventario y Almacén'!I23="REPONER",'Inventario y Almacén'!H23,"")</f>
        <v/>
      </c>
      <c r="F25" s="29" t="str">
        <f aca="false">IF('Inventario y Almacén'!I23="REPONER",'Inventario y Almacén'!G23,"")</f>
        <v/>
      </c>
      <c r="G25" s="29" t="str">
        <f aca="false">IF(OR(E25="",F25=""),"",E25*F25)</f>
        <v/>
      </c>
    </row>
    <row r="26" customFormat="false" ht="15" hidden="false" customHeight="false" outlineLevel="0" collapsed="false">
      <c r="B26" s="33" t="str">
        <f aca="false">IF('Inventario y Almacén'!I24="REPONER",'Inventario y Almacén'!B24,"")</f>
        <v/>
      </c>
      <c r="C26" s="34" t="str">
        <f aca="false">IF('Inventario y Almacén'!I24="REPONER",'Inventario y Almacén'!C24,"")</f>
        <v/>
      </c>
      <c r="D26" s="33" t="str">
        <f aca="false">IF('Inventario y Almacén'!I24="REPONER",'Inventario y Almacén'!D24,"")</f>
        <v/>
      </c>
      <c r="E26" s="35" t="str">
        <f aca="false">IF('Inventario y Almacén'!I24="REPONER",'Inventario y Almacén'!H24,"")</f>
        <v/>
      </c>
      <c r="F26" s="29" t="str">
        <f aca="false">IF('Inventario y Almacén'!I24="REPONER",'Inventario y Almacén'!G24,"")</f>
        <v/>
      </c>
      <c r="G26" s="29" t="str">
        <f aca="false">IF(OR(E26="",F26=""),"",E26*F26)</f>
        <v/>
      </c>
    </row>
    <row r="27" customFormat="false" ht="15" hidden="false" customHeight="false" outlineLevel="0" collapsed="false">
      <c r="B27" s="33" t="str">
        <f aca="false">IF('Inventario y Almacén'!I25="REPONER",'Inventario y Almacén'!B25,"")</f>
        <v/>
      </c>
      <c r="C27" s="34" t="str">
        <f aca="false">IF('Inventario y Almacén'!I25="REPONER",'Inventario y Almacén'!C25,"")</f>
        <v/>
      </c>
      <c r="D27" s="33" t="str">
        <f aca="false">IF('Inventario y Almacén'!I25="REPONER",'Inventario y Almacén'!D25,"")</f>
        <v/>
      </c>
      <c r="E27" s="35" t="str">
        <f aca="false">IF('Inventario y Almacén'!I25="REPONER",'Inventario y Almacén'!H25,"")</f>
        <v/>
      </c>
      <c r="F27" s="29" t="str">
        <f aca="false">IF('Inventario y Almacén'!I25="REPONER",'Inventario y Almacén'!G25,"")</f>
        <v/>
      </c>
      <c r="G27" s="29" t="str">
        <f aca="false">IF(OR(E27="",F27=""),"",E27*F27)</f>
        <v/>
      </c>
    </row>
    <row r="28" customFormat="false" ht="15" hidden="false" customHeight="false" outlineLevel="0" collapsed="false">
      <c r="B28" s="33" t="str">
        <f aca="false">IF('Inventario y Almacén'!I26="REPONER",'Inventario y Almacén'!B26,"")</f>
        <v/>
      </c>
      <c r="C28" s="34" t="str">
        <f aca="false">IF('Inventario y Almacén'!I26="REPONER",'Inventario y Almacén'!C26,"")</f>
        <v/>
      </c>
      <c r="D28" s="33" t="str">
        <f aca="false">IF('Inventario y Almacén'!I26="REPONER",'Inventario y Almacén'!D26,"")</f>
        <v/>
      </c>
      <c r="E28" s="35" t="str">
        <f aca="false">IF('Inventario y Almacén'!I26="REPONER",'Inventario y Almacén'!H26,"")</f>
        <v/>
      </c>
      <c r="F28" s="29" t="str">
        <f aca="false">IF('Inventario y Almacén'!I26="REPONER",'Inventario y Almacén'!G26,"")</f>
        <v/>
      </c>
      <c r="G28" s="29" t="str">
        <f aca="false">IF(OR(E28="",F28=""),"",E28*F28)</f>
        <v/>
      </c>
    </row>
    <row r="29" customFormat="false" ht="15" hidden="false" customHeight="false" outlineLevel="0" collapsed="false">
      <c r="B29" s="33" t="str">
        <f aca="false">IF('Inventario y Almacén'!I27="REPONER",'Inventario y Almacén'!B27,"")</f>
        <v/>
      </c>
      <c r="C29" s="34" t="str">
        <f aca="false">IF('Inventario y Almacén'!I27="REPONER",'Inventario y Almacén'!C27,"")</f>
        <v/>
      </c>
      <c r="D29" s="33" t="str">
        <f aca="false">IF('Inventario y Almacén'!I27="REPONER",'Inventario y Almacén'!D27,"")</f>
        <v/>
      </c>
      <c r="E29" s="35" t="str">
        <f aca="false">IF('Inventario y Almacén'!I27="REPONER",'Inventario y Almacén'!H27,"")</f>
        <v/>
      </c>
      <c r="F29" s="29" t="str">
        <f aca="false">IF('Inventario y Almacén'!I27="REPONER",'Inventario y Almacén'!G27,"")</f>
        <v/>
      </c>
      <c r="G29" s="29" t="str">
        <f aca="false">IF(OR(E29="",F29=""),"",E29*F29)</f>
        <v/>
      </c>
    </row>
    <row r="30" customFormat="false" ht="15" hidden="false" customHeight="false" outlineLevel="0" collapsed="false">
      <c r="B30" s="33" t="str">
        <f aca="false">IF('Inventario y Almacén'!I28="REPONER",'Inventario y Almacén'!B28,"")</f>
        <v/>
      </c>
      <c r="C30" s="34" t="str">
        <f aca="false">IF('Inventario y Almacén'!I28="REPONER",'Inventario y Almacén'!C28,"")</f>
        <v/>
      </c>
      <c r="D30" s="33" t="str">
        <f aca="false">IF('Inventario y Almacén'!I28="REPONER",'Inventario y Almacén'!D28,"")</f>
        <v/>
      </c>
      <c r="E30" s="35" t="str">
        <f aca="false">IF('Inventario y Almacén'!I28="REPONER",'Inventario y Almacén'!H28,"")</f>
        <v/>
      </c>
      <c r="F30" s="29" t="str">
        <f aca="false">IF('Inventario y Almacén'!I28="REPONER",'Inventario y Almacén'!G28,"")</f>
        <v/>
      </c>
      <c r="G30" s="29" t="str">
        <f aca="false">IF(OR(E30="",F30=""),"",E30*F30)</f>
        <v/>
      </c>
    </row>
    <row r="31" customFormat="false" ht="15" hidden="false" customHeight="false" outlineLevel="0" collapsed="false">
      <c r="B31" s="33" t="str">
        <f aca="false">IF('Inventario y Almacén'!I29="REPONER",'Inventario y Almacén'!B29,"")</f>
        <v/>
      </c>
      <c r="C31" s="34" t="str">
        <f aca="false">IF('Inventario y Almacén'!I29="REPONER",'Inventario y Almacén'!C29,"")</f>
        <v/>
      </c>
      <c r="D31" s="33" t="str">
        <f aca="false">IF('Inventario y Almacén'!I29="REPONER",'Inventario y Almacén'!D29,"")</f>
        <v/>
      </c>
      <c r="E31" s="35" t="str">
        <f aca="false">IF('Inventario y Almacén'!I29="REPONER",'Inventario y Almacén'!H29,"")</f>
        <v/>
      </c>
      <c r="F31" s="29" t="str">
        <f aca="false">IF('Inventario y Almacén'!I29="REPONER",'Inventario y Almacén'!G29,"")</f>
        <v/>
      </c>
      <c r="G31" s="29" t="str">
        <f aca="false">IF(OR(E31="",F31=""),"",E31*F31)</f>
        <v/>
      </c>
    </row>
    <row r="32" customFormat="false" ht="15" hidden="false" customHeight="false" outlineLevel="0" collapsed="false">
      <c r="B32" s="33" t="str">
        <f aca="false">IF('Inventario y Almacén'!I30="REPONER",'Inventario y Almacén'!B30,"")</f>
        <v/>
      </c>
      <c r="C32" s="34" t="str">
        <f aca="false">IF('Inventario y Almacén'!I30="REPONER",'Inventario y Almacén'!C30,"")</f>
        <v/>
      </c>
      <c r="D32" s="33" t="str">
        <f aca="false">IF('Inventario y Almacén'!I30="REPONER",'Inventario y Almacén'!D30,"")</f>
        <v/>
      </c>
      <c r="E32" s="35" t="str">
        <f aca="false">IF('Inventario y Almacén'!I30="REPONER",'Inventario y Almacén'!H30,"")</f>
        <v/>
      </c>
      <c r="F32" s="29" t="str">
        <f aca="false">IF('Inventario y Almacén'!I30="REPONER",'Inventario y Almacén'!G30,"")</f>
        <v/>
      </c>
      <c r="G32" s="29" t="str">
        <f aca="false">IF(OR(E32="",F32=""),"",E32*F32)</f>
        <v/>
      </c>
    </row>
    <row r="33" customFormat="false" ht="15" hidden="false" customHeight="false" outlineLevel="0" collapsed="false">
      <c r="B33" s="33" t="str">
        <f aca="false">IF('Inventario y Almacén'!I31="REPONER",'Inventario y Almacén'!B31,"")</f>
        <v/>
      </c>
      <c r="C33" s="34" t="str">
        <f aca="false">IF('Inventario y Almacén'!I31="REPONER",'Inventario y Almacén'!C31,"")</f>
        <v/>
      </c>
      <c r="D33" s="33" t="str">
        <f aca="false">IF('Inventario y Almacén'!I31="REPONER",'Inventario y Almacén'!D31,"")</f>
        <v/>
      </c>
      <c r="E33" s="35" t="str">
        <f aca="false">IF('Inventario y Almacén'!I31="REPONER",'Inventario y Almacén'!H31,"")</f>
        <v/>
      </c>
      <c r="F33" s="29" t="str">
        <f aca="false">IF('Inventario y Almacén'!I31="REPONER",'Inventario y Almacén'!G31,"")</f>
        <v/>
      </c>
      <c r="G33" s="29" t="str">
        <f aca="false">IF(OR(E33="",F33=""),"",E33*F33)</f>
        <v/>
      </c>
    </row>
    <row r="34" customFormat="false" ht="15" hidden="false" customHeight="false" outlineLevel="0" collapsed="false">
      <c r="B34" s="33" t="str">
        <f aca="false">IF('Inventario y Almacén'!I32="REPONER",'Inventario y Almacén'!B32,"")</f>
        <v/>
      </c>
      <c r="C34" s="34" t="str">
        <f aca="false">IF('Inventario y Almacén'!I32="REPONER",'Inventario y Almacén'!C32,"")</f>
        <v/>
      </c>
      <c r="D34" s="33" t="str">
        <f aca="false">IF('Inventario y Almacén'!I32="REPONER",'Inventario y Almacén'!D32,"")</f>
        <v/>
      </c>
      <c r="E34" s="35" t="str">
        <f aca="false">IF('Inventario y Almacén'!I32="REPONER",'Inventario y Almacén'!H32,"")</f>
        <v/>
      </c>
      <c r="F34" s="29" t="str">
        <f aca="false">IF('Inventario y Almacén'!I32="REPONER",'Inventario y Almacén'!G32,"")</f>
        <v/>
      </c>
      <c r="G34" s="29" t="str">
        <f aca="false">IF(OR(E34="",F34=""),"",E34*F34)</f>
        <v/>
      </c>
    </row>
    <row r="35" customFormat="false" ht="15" hidden="false" customHeight="false" outlineLevel="0" collapsed="false">
      <c r="B35" s="33" t="str">
        <f aca="false">IF('Inventario y Almacén'!I33="REPONER",'Inventario y Almacén'!B33,"")</f>
        <v/>
      </c>
      <c r="C35" s="34" t="str">
        <f aca="false">IF('Inventario y Almacén'!I33="REPONER",'Inventario y Almacén'!C33,"")</f>
        <v/>
      </c>
      <c r="D35" s="33" t="str">
        <f aca="false">IF('Inventario y Almacén'!I33="REPONER",'Inventario y Almacén'!D33,"")</f>
        <v/>
      </c>
      <c r="E35" s="35" t="str">
        <f aca="false">IF('Inventario y Almacén'!I33="REPONER",'Inventario y Almacén'!H33,"")</f>
        <v/>
      </c>
      <c r="F35" s="29" t="str">
        <f aca="false">IF('Inventario y Almacén'!I33="REPONER",'Inventario y Almacén'!G33,"")</f>
        <v/>
      </c>
      <c r="G35" s="29" t="str">
        <f aca="false">IF(OR(E35="",F35=""),"",E35*F35)</f>
        <v/>
      </c>
    </row>
    <row r="36" customFormat="false" ht="15" hidden="false" customHeight="false" outlineLevel="0" collapsed="false">
      <c r="B36" s="33" t="str">
        <f aca="false">IF('Inventario y Almacén'!I34="REPONER",'Inventario y Almacén'!B34,"")</f>
        <v/>
      </c>
      <c r="C36" s="34" t="str">
        <f aca="false">IF('Inventario y Almacén'!I34="REPONER",'Inventario y Almacén'!C34,"")</f>
        <v/>
      </c>
      <c r="D36" s="33" t="str">
        <f aca="false">IF('Inventario y Almacén'!I34="REPONER",'Inventario y Almacén'!D34,"")</f>
        <v/>
      </c>
      <c r="E36" s="35" t="str">
        <f aca="false">IF('Inventario y Almacén'!I34="REPONER",'Inventario y Almacén'!H34,"")</f>
        <v/>
      </c>
      <c r="F36" s="29" t="str">
        <f aca="false">IF('Inventario y Almacén'!I34="REPONER",'Inventario y Almacén'!G34,"")</f>
        <v/>
      </c>
      <c r="G36" s="29" t="str">
        <f aca="false">IF(OR(E36="",F36=""),"",E36*F36)</f>
        <v/>
      </c>
    </row>
    <row r="37" customFormat="false" ht="15" hidden="false" customHeight="false" outlineLevel="0" collapsed="false">
      <c r="B37" s="33" t="str">
        <f aca="false">IF('Inventario y Almacén'!I35="REPONER",'Inventario y Almacén'!B35,"")</f>
        <v/>
      </c>
      <c r="C37" s="34" t="str">
        <f aca="false">IF('Inventario y Almacén'!I35="REPONER",'Inventario y Almacén'!C35,"")</f>
        <v/>
      </c>
      <c r="D37" s="33" t="str">
        <f aca="false">IF('Inventario y Almacén'!I35="REPONER",'Inventario y Almacén'!D35,"")</f>
        <v/>
      </c>
      <c r="E37" s="35" t="str">
        <f aca="false">IF('Inventario y Almacén'!I35="REPONER",'Inventario y Almacén'!H35,"")</f>
        <v/>
      </c>
      <c r="F37" s="29" t="str">
        <f aca="false">IF('Inventario y Almacén'!I35="REPONER",'Inventario y Almacén'!G35,"")</f>
        <v/>
      </c>
      <c r="G37" s="29" t="str">
        <f aca="false">IF(OR(E37="",F37=""),"",E37*F37)</f>
        <v/>
      </c>
    </row>
    <row r="38" customFormat="false" ht="15" hidden="false" customHeight="false" outlineLevel="0" collapsed="false">
      <c r="B38" s="33" t="str">
        <f aca="false">IF('Inventario y Almacén'!I36="REPONER",'Inventario y Almacén'!B36,"")</f>
        <v/>
      </c>
      <c r="C38" s="34" t="str">
        <f aca="false">IF('Inventario y Almacén'!I36="REPONER",'Inventario y Almacén'!C36,"")</f>
        <v/>
      </c>
      <c r="D38" s="33" t="str">
        <f aca="false">IF('Inventario y Almacén'!I36="REPONER",'Inventario y Almacén'!D36,"")</f>
        <v/>
      </c>
      <c r="E38" s="35" t="str">
        <f aca="false">IF('Inventario y Almacén'!I36="REPONER",'Inventario y Almacén'!H36,"")</f>
        <v/>
      </c>
      <c r="F38" s="29" t="str">
        <f aca="false">IF('Inventario y Almacén'!I36="REPONER",'Inventario y Almacén'!G36,"")</f>
        <v/>
      </c>
      <c r="G38" s="29" t="str">
        <f aca="false">IF(OR(E38="",F38=""),"",E38*F38)</f>
        <v/>
      </c>
    </row>
    <row r="39" customFormat="false" ht="15" hidden="false" customHeight="false" outlineLevel="0" collapsed="false">
      <c r="B39" s="33" t="str">
        <f aca="false">IF('Inventario y Almacén'!I37="REPONER",'Inventario y Almacén'!B37,"")</f>
        <v/>
      </c>
      <c r="C39" s="34" t="str">
        <f aca="false">IF('Inventario y Almacén'!I37="REPONER",'Inventario y Almacén'!C37,"")</f>
        <v/>
      </c>
      <c r="D39" s="33" t="str">
        <f aca="false">IF('Inventario y Almacén'!I37="REPONER",'Inventario y Almacén'!D37,"")</f>
        <v/>
      </c>
      <c r="E39" s="35" t="str">
        <f aca="false">IF('Inventario y Almacén'!I37="REPONER",'Inventario y Almacén'!H37,"")</f>
        <v/>
      </c>
      <c r="F39" s="29" t="str">
        <f aca="false">IF('Inventario y Almacén'!I37="REPONER",'Inventario y Almacén'!G37,"")</f>
        <v/>
      </c>
      <c r="G39" s="29" t="str">
        <f aca="false">IF(OR(E39="",F39=""),"",E39*F39)</f>
        <v/>
      </c>
    </row>
    <row r="40" customFormat="false" ht="15" hidden="false" customHeight="false" outlineLevel="0" collapsed="false">
      <c r="B40" s="33" t="str">
        <f aca="false">IF('Inventario y Almacén'!I38="REPONER",'Inventario y Almacén'!B38,"")</f>
        <v/>
      </c>
      <c r="C40" s="34" t="str">
        <f aca="false">IF('Inventario y Almacén'!I38="REPONER",'Inventario y Almacén'!C38,"")</f>
        <v/>
      </c>
      <c r="D40" s="33" t="str">
        <f aca="false">IF('Inventario y Almacén'!I38="REPONER",'Inventario y Almacén'!D38,"")</f>
        <v/>
      </c>
      <c r="E40" s="35" t="str">
        <f aca="false">IF('Inventario y Almacén'!I38="REPONER",'Inventario y Almacén'!H38,"")</f>
        <v/>
      </c>
      <c r="F40" s="29" t="str">
        <f aca="false">IF('Inventario y Almacén'!I38="REPONER",'Inventario y Almacén'!G38,"")</f>
        <v/>
      </c>
      <c r="G40" s="29" t="str">
        <f aca="false">IF(OR(E40="",F40=""),"",E40*F40)</f>
        <v/>
      </c>
    </row>
    <row r="41" customFormat="false" ht="15" hidden="false" customHeight="false" outlineLevel="0" collapsed="false">
      <c r="B41" s="33" t="str">
        <f aca="false">IF('Inventario y Almacén'!I39="REPONER",'Inventario y Almacén'!B39,"")</f>
        <v/>
      </c>
      <c r="C41" s="34" t="str">
        <f aca="false">IF('Inventario y Almacén'!I39="REPONER",'Inventario y Almacén'!C39,"")</f>
        <v/>
      </c>
      <c r="D41" s="33" t="str">
        <f aca="false">IF('Inventario y Almacén'!I39="REPONER",'Inventario y Almacén'!D39,"")</f>
        <v/>
      </c>
      <c r="E41" s="35" t="str">
        <f aca="false">IF('Inventario y Almacén'!I39="REPONER",'Inventario y Almacén'!H39,"")</f>
        <v/>
      </c>
      <c r="F41" s="29" t="str">
        <f aca="false">IF('Inventario y Almacén'!I39="REPONER",'Inventario y Almacén'!G39,"")</f>
        <v/>
      </c>
      <c r="G41" s="29" t="str">
        <f aca="false">IF(OR(E41="",F41=""),"",E41*F41)</f>
        <v/>
      </c>
    </row>
    <row r="42" customFormat="false" ht="15" hidden="false" customHeight="false" outlineLevel="0" collapsed="false">
      <c r="B42" s="33" t="str">
        <f aca="false">IF('Inventario y Almacén'!I40="REPONER",'Inventario y Almacén'!B40,"")</f>
        <v/>
      </c>
      <c r="C42" s="34" t="str">
        <f aca="false">IF('Inventario y Almacén'!I40="REPONER",'Inventario y Almacén'!C40,"")</f>
        <v/>
      </c>
      <c r="D42" s="33" t="str">
        <f aca="false">IF('Inventario y Almacén'!I40="REPONER",'Inventario y Almacén'!D40,"")</f>
        <v/>
      </c>
      <c r="E42" s="35" t="str">
        <f aca="false">IF('Inventario y Almacén'!I40="REPONER",'Inventario y Almacén'!H40,"")</f>
        <v/>
      </c>
      <c r="F42" s="29" t="str">
        <f aca="false">IF('Inventario y Almacén'!I40="REPONER",'Inventario y Almacén'!G40,"")</f>
        <v/>
      </c>
      <c r="G42" s="29" t="str">
        <f aca="false">IF(OR(E42="",F42=""),"",E42*F42)</f>
        <v/>
      </c>
    </row>
    <row r="43" customFormat="false" ht="15" hidden="false" customHeight="false" outlineLevel="0" collapsed="false">
      <c r="B43" s="33" t="str">
        <f aca="false">IF('Inventario y Almacén'!I41="REPONER",'Inventario y Almacén'!B41,"")</f>
        <v/>
      </c>
      <c r="C43" s="34" t="str">
        <f aca="false">IF('Inventario y Almacén'!I41="REPONER",'Inventario y Almacén'!C41,"")</f>
        <v/>
      </c>
      <c r="D43" s="33" t="str">
        <f aca="false">IF('Inventario y Almacén'!I41="REPONER",'Inventario y Almacén'!D41,"")</f>
        <v/>
      </c>
      <c r="E43" s="35" t="str">
        <f aca="false">IF('Inventario y Almacén'!I41="REPONER",'Inventario y Almacén'!H41,"")</f>
        <v/>
      </c>
      <c r="F43" s="29" t="str">
        <f aca="false">IF('Inventario y Almacén'!I41="REPONER",'Inventario y Almacén'!G41,"")</f>
        <v/>
      </c>
      <c r="G43" s="29" t="str">
        <f aca="false">IF(OR(E43="",F43=""),"",E43*F43)</f>
        <v/>
      </c>
    </row>
    <row r="44" customFormat="false" ht="15" hidden="false" customHeight="false" outlineLevel="0" collapsed="false">
      <c r="B44" s="33" t="str">
        <f aca="false">IF('Inventario y Almacén'!I42="REPONER",'Inventario y Almacén'!B42,"")</f>
        <v/>
      </c>
      <c r="C44" s="34" t="str">
        <f aca="false">IF('Inventario y Almacén'!I42="REPONER",'Inventario y Almacén'!C42,"")</f>
        <v/>
      </c>
      <c r="D44" s="33" t="str">
        <f aca="false">IF('Inventario y Almacén'!I42="REPONER",'Inventario y Almacén'!D42,"")</f>
        <v/>
      </c>
      <c r="E44" s="35" t="str">
        <f aca="false">IF('Inventario y Almacén'!I42="REPONER",'Inventario y Almacén'!H42,"")</f>
        <v/>
      </c>
      <c r="F44" s="29" t="str">
        <f aca="false">IF('Inventario y Almacén'!I42="REPONER",'Inventario y Almacén'!G42,"")</f>
        <v/>
      </c>
      <c r="G44" s="29" t="str">
        <f aca="false">IF(OR(E44="",F44=""),"",E44*F44)</f>
        <v/>
      </c>
    </row>
    <row r="45" customFormat="false" ht="15" hidden="false" customHeight="false" outlineLevel="0" collapsed="false">
      <c r="B45" s="33" t="str">
        <f aca="false">IF('Inventario y Almacén'!I43="REPONER",'Inventario y Almacén'!B43,"")</f>
        <v/>
      </c>
      <c r="C45" s="34" t="str">
        <f aca="false">IF('Inventario y Almacén'!I43="REPONER",'Inventario y Almacén'!C43,"")</f>
        <v/>
      </c>
      <c r="D45" s="33" t="str">
        <f aca="false">IF('Inventario y Almacén'!I43="REPONER",'Inventario y Almacén'!D43,"")</f>
        <v/>
      </c>
      <c r="E45" s="35" t="str">
        <f aca="false">IF('Inventario y Almacén'!I43="REPONER",'Inventario y Almacén'!H43,"")</f>
        <v/>
      </c>
      <c r="F45" s="29" t="str">
        <f aca="false">IF('Inventario y Almacén'!I43="REPONER",'Inventario y Almacén'!G43,"")</f>
        <v/>
      </c>
      <c r="G45" s="29" t="str">
        <f aca="false">IF(OR(E45="",F45=""),"",E45*F45)</f>
        <v/>
      </c>
    </row>
    <row r="46" customFormat="false" ht="15" hidden="false" customHeight="false" outlineLevel="0" collapsed="false">
      <c r="B46" s="33" t="str">
        <f aca="false">IF('Inventario y Almacén'!I44="REPONER",'Inventario y Almacén'!B44,"")</f>
        <v/>
      </c>
      <c r="C46" s="34" t="str">
        <f aca="false">IF('Inventario y Almacén'!I44="REPONER",'Inventario y Almacén'!C44,"")</f>
        <v/>
      </c>
      <c r="D46" s="33" t="str">
        <f aca="false">IF('Inventario y Almacén'!I44="REPONER",'Inventario y Almacén'!D44,"")</f>
        <v/>
      </c>
      <c r="E46" s="35" t="str">
        <f aca="false">IF('Inventario y Almacén'!I44="REPONER",'Inventario y Almacén'!H44,"")</f>
        <v/>
      </c>
      <c r="F46" s="29" t="str">
        <f aca="false">IF('Inventario y Almacén'!I44="REPONER",'Inventario y Almacén'!G44,"")</f>
        <v/>
      </c>
      <c r="G46" s="29" t="str">
        <f aca="false">IF(OR(E46="",F46=""),"",E46*F46)</f>
        <v/>
      </c>
    </row>
    <row r="47" customFormat="false" ht="15" hidden="false" customHeight="false" outlineLevel="0" collapsed="false">
      <c r="B47" s="33" t="str">
        <f aca="false">IF('Inventario y Almacén'!I45="REPONER",'Inventario y Almacén'!B45,"")</f>
        <v/>
      </c>
      <c r="C47" s="34" t="str">
        <f aca="false">IF('Inventario y Almacén'!I45="REPONER",'Inventario y Almacén'!C45,"")</f>
        <v/>
      </c>
      <c r="D47" s="33" t="str">
        <f aca="false">IF('Inventario y Almacén'!I45="REPONER",'Inventario y Almacén'!D45,"")</f>
        <v/>
      </c>
      <c r="E47" s="35" t="str">
        <f aca="false">IF('Inventario y Almacén'!I45="REPONER",'Inventario y Almacén'!H45,"")</f>
        <v/>
      </c>
      <c r="F47" s="29" t="str">
        <f aca="false">IF('Inventario y Almacén'!I45="REPONER",'Inventario y Almacén'!G45,"")</f>
        <v/>
      </c>
      <c r="G47" s="29" t="str">
        <f aca="false">IF(OR(E47="",F47=""),"",E47*F47)</f>
        <v/>
      </c>
    </row>
    <row r="48" customFormat="false" ht="15" hidden="false" customHeight="false" outlineLevel="0" collapsed="false">
      <c r="B48" s="33" t="str">
        <f aca="false">IF('Inventario y Almacén'!I46="REPONER",'Inventario y Almacén'!B46,"")</f>
        <v/>
      </c>
      <c r="C48" s="34" t="str">
        <f aca="false">IF('Inventario y Almacén'!I46="REPONER",'Inventario y Almacén'!C46,"")</f>
        <v/>
      </c>
      <c r="D48" s="33" t="str">
        <f aca="false">IF('Inventario y Almacén'!I46="REPONER",'Inventario y Almacén'!D46,"")</f>
        <v/>
      </c>
      <c r="E48" s="35" t="str">
        <f aca="false">IF('Inventario y Almacén'!I46="REPONER",'Inventario y Almacén'!H46,"")</f>
        <v/>
      </c>
      <c r="F48" s="29" t="str">
        <f aca="false">IF('Inventario y Almacén'!I46="REPONER",'Inventario y Almacén'!G46,"")</f>
        <v/>
      </c>
      <c r="G48" s="29" t="str">
        <f aca="false">IF(OR(E48="",F48=""),"",E48*F48)</f>
        <v/>
      </c>
    </row>
    <row r="49" customFormat="false" ht="15" hidden="false" customHeight="false" outlineLevel="0" collapsed="false">
      <c r="B49" s="17" t="s">
        <v>100</v>
      </c>
      <c r="C49" s="18"/>
      <c r="D49" s="18"/>
      <c r="E49" s="18"/>
      <c r="F49" s="18"/>
      <c r="G49" s="36" t="n">
        <f aca="false">SUM(G9:G48)</f>
        <v>0</v>
      </c>
    </row>
    <row r="51" customFormat="false" ht="15" hidden="false" customHeight="false" outlineLevel="0" collapsed="false">
      <c r="B51" s="6" t="s">
        <v>50</v>
      </c>
    </row>
    <row r="52" customFormat="false" ht="15" hidden="false" customHeight="false" outlineLevel="0" collapsed="false">
      <c r="B52" s="7" t="s">
        <v>101</v>
      </c>
      <c r="C52" s="7"/>
      <c r="D52" s="7"/>
      <c r="E52" s="7"/>
      <c r="F52" s="7"/>
      <c r="G52" s="7"/>
    </row>
    <row r="53" customFormat="false" ht="15" hidden="false" customHeight="false" outlineLevel="0" collapsed="false">
      <c r="B53" s="7" t="s">
        <v>102</v>
      </c>
      <c r="C53" s="7"/>
      <c r="D53" s="7"/>
      <c r="E53" s="7"/>
      <c r="F53" s="7"/>
      <c r="G53" s="7"/>
    </row>
    <row r="54" customFormat="false" ht="15" hidden="false" customHeight="false" outlineLevel="0" collapsed="false">
      <c r="B54" s="7" t="s">
        <v>103</v>
      </c>
      <c r="C54" s="7"/>
      <c r="D54" s="7"/>
      <c r="E54" s="7"/>
      <c r="F54" s="7"/>
      <c r="G54" s="7"/>
    </row>
  </sheetData>
  <mergeCells count="5">
    <mergeCell ref="B2:G2"/>
    <mergeCell ref="B3:G3"/>
    <mergeCell ref="B52:G52"/>
    <mergeCell ref="B53:G53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2026-08-24T21:07:54Z</dcterms:created>
  <dc:creator>openpyxl</dc:creator>
  <dc:description/>
  <dc:language>en-US</dc:language>
  <cp:lastModifiedBy/>
  <dcterms:modified xsi:type="dcterms:W3CDTF">2026-08-24T21:10:04Z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